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1685cd5063f9d2/Dokumenty/Models stocks NEW/"/>
    </mc:Choice>
  </mc:AlternateContent>
  <xr:revisionPtr revIDLastSave="1112" documentId="8_{8E87C82C-BB29-48F9-8123-4CE49274FEA7}" xr6:coauthVersionLast="47" xr6:coauthVersionMax="47" xr10:uidLastSave="{7E880313-78F7-4E1F-A470-CC6442E340CE}"/>
  <bookViews>
    <workbookView xWindow="-108" yWindow="-108" windowWidth="23256" windowHeight="13896" xr2:uid="{29D8243A-4B35-4CBB-AECB-263FE721693F}"/>
  </bookViews>
  <sheets>
    <sheet name="main" sheetId="1" r:id="rId1"/>
    <sheet name="comments" sheetId="3" r:id="rId2"/>
    <sheet name="sources" sheetId="2" r:id="rId3"/>
  </sheets>
  <definedNames>
    <definedName name="_xlnm._FilterDatabase" localSheetId="0" hidden="1">main!$B$9:$AM$82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0" i="3" l="1"/>
  <c r="D29" i="3"/>
  <c r="D28" i="3"/>
  <c r="D27" i="3"/>
  <c r="D24" i="3"/>
  <c r="D23" i="3"/>
  <c r="D22" i="3"/>
  <c r="D21" i="3"/>
  <c r="D18" i="3"/>
  <c r="D17" i="3"/>
  <c r="D16" i="3"/>
  <c r="D15" i="3"/>
  <c r="D12" i="3"/>
  <c r="D11" i="3"/>
  <c r="D6" i="3"/>
  <c r="D5" i="3"/>
  <c r="D10" i="3"/>
  <c r="D9" i="3"/>
  <c r="D4" i="3"/>
  <c r="D3" i="3"/>
  <c r="M12" i="1"/>
  <c r="W11" i="1" l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10" i="1"/>
  <c r="AF71" i="1"/>
  <c r="AG71" i="1" s="1"/>
  <c r="AE71" i="1"/>
  <c r="AF70" i="1"/>
  <c r="AG70" i="1" s="1"/>
  <c r="AE70" i="1"/>
  <c r="AB71" i="1"/>
  <c r="AC71" i="1" s="1"/>
  <c r="AA71" i="1"/>
  <c r="AB70" i="1"/>
  <c r="AC70" i="1" s="1"/>
  <c r="AA70" i="1"/>
  <c r="X71" i="1"/>
  <c r="X70" i="1"/>
  <c r="T71" i="1"/>
  <c r="U71" i="1" s="1"/>
  <c r="S71" i="1"/>
  <c r="T70" i="1"/>
  <c r="U70" i="1" s="1"/>
  <c r="S70" i="1"/>
  <c r="M70" i="1"/>
  <c r="N70" i="1"/>
  <c r="AJ70" i="1"/>
  <c r="M71" i="1"/>
  <c r="N71" i="1" s="1"/>
  <c r="AB64" i="1"/>
  <c r="AB65" i="1"/>
  <c r="AB66" i="1"/>
  <c r="AB67" i="1"/>
  <c r="AB68" i="1"/>
  <c r="AB69" i="1"/>
  <c r="M69" i="1"/>
  <c r="N69" i="1"/>
  <c r="AA69" i="1"/>
  <c r="AC69" i="1" s="1"/>
  <c r="M68" i="1"/>
  <c r="M67" i="1"/>
  <c r="M66" i="1"/>
  <c r="N66" i="1" s="1"/>
  <c r="M65" i="1"/>
  <c r="AA65" i="1"/>
  <c r="AC65" i="1" s="1"/>
  <c r="M64" i="1"/>
  <c r="AA64" i="1"/>
  <c r="AC64" i="1" s="1"/>
  <c r="AA61" i="1"/>
  <c r="AA60" i="1"/>
  <c r="AA56" i="1"/>
  <c r="AA55" i="1"/>
  <c r="AA43" i="1"/>
  <c r="AA32" i="1"/>
  <c r="AA31" i="1"/>
  <c r="AA25" i="1"/>
  <c r="AA24" i="1"/>
  <c r="AA20" i="1"/>
  <c r="AA19" i="1"/>
  <c r="N19" i="1"/>
  <c r="N55" i="1"/>
  <c r="M11" i="1"/>
  <c r="AA11" i="1" s="1"/>
  <c r="N12" i="1"/>
  <c r="M13" i="1"/>
  <c r="AA13" i="1" s="1"/>
  <c r="M14" i="1"/>
  <c r="N14" i="1" s="1"/>
  <c r="M15" i="1"/>
  <c r="N15" i="1" s="1"/>
  <c r="M16" i="1"/>
  <c r="AA16" i="1" s="1"/>
  <c r="M17" i="1"/>
  <c r="AA17" i="1" s="1"/>
  <c r="M18" i="1"/>
  <c r="AA18" i="1" s="1"/>
  <c r="M19" i="1"/>
  <c r="M20" i="1"/>
  <c r="M21" i="1"/>
  <c r="AA21" i="1" s="1"/>
  <c r="M22" i="1"/>
  <c r="N22" i="1" s="1"/>
  <c r="M23" i="1"/>
  <c r="N23" i="1" s="1"/>
  <c r="M24" i="1"/>
  <c r="N24" i="1" s="1"/>
  <c r="M25" i="1"/>
  <c r="N25" i="1" s="1"/>
  <c r="M26" i="1"/>
  <c r="AA26" i="1" s="1"/>
  <c r="M27" i="1"/>
  <c r="AA27" i="1" s="1"/>
  <c r="M28" i="1"/>
  <c r="AA28" i="1" s="1"/>
  <c r="M29" i="1"/>
  <c r="AA29" i="1" s="1"/>
  <c r="M30" i="1"/>
  <c r="N30" i="1" s="1"/>
  <c r="M31" i="1"/>
  <c r="M32" i="1"/>
  <c r="M33" i="1"/>
  <c r="AA33" i="1" s="1"/>
  <c r="M34" i="1"/>
  <c r="N34" i="1" s="1"/>
  <c r="M35" i="1"/>
  <c r="AA35" i="1" s="1"/>
  <c r="M36" i="1"/>
  <c r="AA36" i="1" s="1"/>
  <c r="M37" i="1"/>
  <c r="AA37" i="1" s="1"/>
  <c r="M38" i="1"/>
  <c r="AA38" i="1" s="1"/>
  <c r="M39" i="1"/>
  <c r="AA39" i="1" s="1"/>
  <c r="M40" i="1"/>
  <c r="AA40" i="1" s="1"/>
  <c r="M41" i="1"/>
  <c r="AA41" i="1" s="1"/>
  <c r="M42" i="1"/>
  <c r="AA42" i="1" s="1"/>
  <c r="M43" i="1"/>
  <c r="M44" i="1"/>
  <c r="N44" i="1" s="1"/>
  <c r="M45" i="1"/>
  <c r="AA45" i="1" s="1"/>
  <c r="M46" i="1"/>
  <c r="AA46" i="1" s="1"/>
  <c r="M47" i="1"/>
  <c r="N47" i="1" s="1"/>
  <c r="M48" i="1"/>
  <c r="N48" i="1" s="1"/>
  <c r="M49" i="1"/>
  <c r="AA49" i="1" s="1"/>
  <c r="M50" i="1"/>
  <c r="AA50" i="1" s="1"/>
  <c r="M51" i="1"/>
  <c r="AA51" i="1" s="1"/>
  <c r="M52" i="1"/>
  <c r="AA52" i="1" s="1"/>
  <c r="M53" i="1"/>
  <c r="AA53" i="1" s="1"/>
  <c r="M54" i="1"/>
  <c r="AA54" i="1" s="1"/>
  <c r="M55" i="1"/>
  <c r="M56" i="1"/>
  <c r="M57" i="1"/>
  <c r="AA57" i="1" s="1"/>
  <c r="M58" i="1"/>
  <c r="AA58" i="1" s="1"/>
  <c r="M59" i="1"/>
  <c r="AA59" i="1" s="1"/>
  <c r="M60" i="1"/>
  <c r="M61" i="1"/>
  <c r="M62" i="1"/>
  <c r="M63" i="1"/>
  <c r="AA63" i="1" s="1"/>
  <c r="M10" i="1"/>
  <c r="AA10" i="1" s="1"/>
  <c r="AB62" i="1"/>
  <c r="AB63" i="1"/>
  <c r="X4" i="1" l="1"/>
  <c r="Y70" i="1"/>
  <c r="Y71" i="1"/>
  <c r="N65" i="1"/>
  <c r="AA67" i="1"/>
  <c r="AC67" i="1" s="1"/>
  <c r="AA12" i="1"/>
  <c r="AB4" i="1" s="1"/>
  <c r="AA44" i="1"/>
  <c r="AA48" i="1"/>
  <c r="AA14" i="1"/>
  <c r="AA68" i="1"/>
  <c r="AC68" i="1" s="1"/>
  <c r="S68" i="1"/>
  <c r="AA66" i="1"/>
  <c r="AC66" i="1" s="1"/>
  <c r="S66" i="1"/>
  <c r="AA30" i="1"/>
  <c r="AA22" i="1"/>
  <c r="AA34" i="1"/>
  <c r="AA23" i="1"/>
  <c r="AA47" i="1"/>
  <c r="AA62" i="1"/>
  <c r="AC62" i="1" s="1"/>
  <c r="AA15" i="1"/>
  <c r="AC63" i="1"/>
  <c r="AB60" i="1"/>
  <c r="AB61" i="1"/>
  <c r="AC61" i="1"/>
  <c r="AB10" i="1"/>
  <c r="AB11" i="1"/>
  <c r="AB12" i="1"/>
  <c r="AB13" i="1"/>
  <c r="AB14" i="1"/>
  <c r="AB15" i="1"/>
  <c r="AB16" i="1"/>
  <c r="AB17" i="1"/>
  <c r="AC17" i="1" s="1"/>
  <c r="AB18" i="1"/>
  <c r="AB19" i="1"/>
  <c r="AB20" i="1"/>
  <c r="AB21" i="1"/>
  <c r="AB22" i="1"/>
  <c r="AB23" i="1"/>
  <c r="AC23" i="1" s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P11" i="1"/>
  <c r="AK11" i="1" s="1"/>
  <c r="P12" i="1"/>
  <c r="AK12" i="1" s="1"/>
  <c r="P13" i="1"/>
  <c r="AK13" i="1" s="1"/>
  <c r="P14" i="1"/>
  <c r="P15" i="1"/>
  <c r="Q15" i="1" s="1"/>
  <c r="P16" i="1"/>
  <c r="AK16" i="1" s="1"/>
  <c r="P17" i="1"/>
  <c r="P18" i="1"/>
  <c r="P19" i="1"/>
  <c r="AK19" i="1" s="1"/>
  <c r="P20" i="1"/>
  <c r="P21" i="1"/>
  <c r="N21" i="1" s="1"/>
  <c r="P22" i="1"/>
  <c r="P23" i="1"/>
  <c r="P24" i="1"/>
  <c r="P25" i="1"/>
  <c r="AK25" i="1" s="1"/>
  <c r="P26" i="1"/>
  <c r="N26" i="1" s="1"/>
  <c r="P27" i="1"/>
  <c r="N27" i="1" s="1"/>
  <c r="P28" i="1"/>
  <c r="N28" i="1" s="1"/>
  <c r="P29" i="1"/>
  <c r="N29" i="1" s="1"/>
  <c r="P30" i="1"/>
  <c r="AK30" i="1" s="1"/>
  <c r="P31" i="1"/>
  <c r="N31" i="1" s="1"/>
  <c r="P32" i="1"/>
  <c r="N32" i="1" s="1"/>
  <c r="P33" i="1"/>
  <c r="N33" i="1" s="1"/>
  <c r="P34" i="1"/>
  <c r="P35" i="1"/>
  <c r="N35" i="1" s="1"/>
  <c r="P36" i="1"/>
  <c r="N36" i="1" s="1"/>
  <c r="P37" i="1"/>
  <c r="N37" i="1" s="1"/>
  <c r="P38" i="1"/>
  <c r="N38" i="1" s="1"/>
  <c r="P39" i="1"/>
  <c r="N39" i="1" s="1"/>
  <c r="P40" i="1"/>
  <c r="N40" i="1" s="1"/>
  <c r="P41" i="1"/>
  <c r="N41" i="1" s="1"/>
  <c r="P42" i="1"/>
  <c r="P43" i="1"/>
  <c r="P44" i="1"/>
  <c r="AK44" i="1" s="1"/>
  <c r="P45" i="1"/>
  <c r="P46" i="1"/>
  <c r="P47" i="1"/>
  <c r="AK47" i="1" s="1"/>
  <c r="P48" i="1"/>
  <c r="AK48" i="1" s="1"/>
  <c r="P49" i="1"/>
  <c r="AK49" i="1" s="1"/>
  <c r="P50" i="1"/>
  <c r="N50" i="1" s="1"/>
  <c r="P51" i="1"/>
  <c r="N51" i="1" s="1"/>
  <c r="P52" i="1"/>
  <c r="N52" i="1" s="1"/>
  <c r="P53" i="1"/>
  <c r="N53" i="1" s="1"/>
  <c r="P54" i="1"/>
  <c r="P55" i="1"/>
  <c r="Q55" i="1" s="1"/>
  <c r="AJ55" i="1" s="1"/>
  <c r="P56" i="1"/>
  <c r="P57" i="1"/>
  <c r="P58" i="1"/>
  <c r="P59" i="1"/>
  <c r="P60" i="1"/>
  <c r="S60" i="1" s="1"/>
  <c r="P61" i="1"/>
  <c r="S61" i="1" s="1"/>
  <c r="P62" i="1"/>
  <c r="N62" i="1" s="1"/>
  <c r="P63" i="1"/>
  <c r="N63" i="1" s="1"/>
  <c r="P64" i="1"/>
  <c r="P65" i="1"/>
  <c r="P66" i="1"/>
  <c r="P67" i="1"/>
  <c r="P68" i="1"/>
  <c r="P69" i="1"/>
  <c r="P70" i="1"/>
  <c r="Q70" i="1" s="1"/>
  <c r="P71" i="1"/>
  <c r="Q71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10" i="1"/>
  <c r="N10" i="1" s="1"/>
  <c r="AC11" i="1"/>
  <c r="AC24" i="1"/>
  <c r="Q69" i="1" l="1"/>
  <c r="T69" i="1"/>
  <c r="X69" i="1"/>
  <c r="S69" i="1"/>
  <c r="Q68" i="1"/>
  <c r="X68" i="1"/>
  <c r="Y68" i="1" s="1"/>
  <c r="T68" i="1"/>
  <c r="U68" i="1" s="1"/>
  <c r="Q67" i="1"/>
  <c r="S67" i="1"/>
  <c r="X67" i="1"/>
  <c r="Y67" i="1" s="1"/>
  <c r="T67" i="1"/>
  <c r="Q66" i="1"/>
  <c r="X66" i="1"/>
  <c r="Y66" i="1" s="1"/>
  <c r="T66" i="1"/>
  <c r="U66" i="1" s="1"/>
  <c r="Q65" i="1"/>
  <c r="X65" i="1"/>
  <c r="T65" i="1"/>
  <c r="S65" i="1"/>
  <c r="X60" i="1"/>
  <c r="Y60" i="1" s="1"/>
  <c r="Q64" i="1"/>
  <c r="N64" i="1"/>
  <c r="S64" i="1"/>
  <c r="X64" i="1"/>
  <c r="T64" i="1"/>
  <c r="U64" i="1" s="1"/>
  <c r="N67" i="1"/>
  <c r="N68" i="1"/>
  <c r="AK51" i="1"/>
  <c r="AK31" i="1"/>
  <c r="AC30" i="1"/>
  <c r="AC32" i="1"/>
  <c r="AK15" i="1"/>
  <c r="AK32" i="1"/>
  <c r="AC44" i="1"/>
  <c r="AC45" i="1"/>
  <c r="N16" i="1"/>
  <c r="AC13" i="1"/>
  <c r="AC55" i="1"/>
  <c r="AC22" i="1"/>
  <c r="AC57" i="1"/>
  <c r="N11" i="1"/>
  <c r="T60" i="1"/>
  <c r="U60" i="1" s="1"/>
  <c r="AK59" i="1"/>
  <c r="N59" i="1"/>
  <c r="AC48" i="1"/>
  <c r="AK58" i="1"/>
  <c r="N58" i="1"/>
  <c r="AK46" i="1"/>
  <c r="N46" i="1"/>
  <c r="N60" i="1"/>
  <c r="AC49" i="1"/>
  <c r="AK57" i="1"/>
  <c r="N57" i="1"/>
  <c r="AK45" i="1"/>
  <c r="N45" i="1"/>
  <c r="AC35" i="1"/>
  <c r="N13" i="1"/>
  <c r="AC37" i="1"/>
  <c r="AC58" i="1"/>
  <c r="Q56" i="1"/>
  <c r="AJ56" i="1" s="1"/>
  <c r="N56" i="1"/>
  <c r="AK20" i="1"/>
  <c r="N20" i="1"/>
  <c r="AC12" i="1"/>
  <c r="AC38" i="1"/>
  <c r="AC59" i="1"/>
  <c r="AK43" i="1"/>
  <c r="N43" i="1"/>
  <c r="N49" i="1"/>
  <c r="AC26" i="1"/>
  <c r="AC39" i="1"/>
  <c r="AC50" i="1"/>
  <c r="Q54" i="1"/>
  <c r="AF54" i="1" s="1"/>
  <c r="N54" i="1"/>
  <c r="AK42" i="1"/>
  <c r="N42" i="1"/>
  <c r="Q18" i="1"/>
  <c r="AE18" i="1" s="1"/>
  <c r="N18" i="1"/>
  <c r="N61" i="1"/>
  <c r="AC15" i="1"/>
  <c r="AC27" i="1"/>
  <c r="AK17" i="1"/>
  <c r="N17" i="1"/>
  <c r="AC14" i="1"/>
  <c r="AC43" i="1"/>
  <c r="AC53" i="1"/>
  <c r="AC40" i="1"/>
  <c r="AK33" i="1"/>
  <c r="AC60" i="1"/>
  <c r="AE55" i="1"/>
  <c r="AC51" i="1"/>
  <c r="AC42" i="1"/>
  <c r="AC52" i="1"/>
  <c r="T61" i="1"/>
  <c r="U61" i="1" s="1"/>
  <c r="AK56" i="1"/>
  <c r="AE56" i="1"/>
  <c r="AK55" i="1"/>
  <c r="AL55" i="1" s="1"/>
  <c r="AK54" i="1"/>
  <c r="X61" i="1"/>
  <c r="AC29" i="1"/>
  <c r="AK18" i="1"/>
  <c r="AC21" i="1"/>
  <c r="Q63" i="1"/>
  <c r="T63" i="1"/>
  <c r="AK63" i="1"/>
  <c r="X63" i="1"/>
  <c r="S63" i="1"/>
  <c r="AJ15" i="1"/>
  <c r="AF55" i="1"/>
  <c r="Q62" i="1"/>
  <c r="X62" i="1"/>
  <c r="Y62" i="1" s="1"/>
  <c r="S62" i="1"/>
  <c r="T62" i="1"/>
  <c r="AK62" i="1"/>
  <c r="AC33" i="1"/>
  <c r="Q61" i="1"/>
  <c r="AK61" i="1"/>
  <c r="AC36" i="1"/>
  <c r="AC28" i="1"/>
  <c r="AC34" i="1"/>
  <c r="AC46" i="1"/>
  <c r="AC56" i="1"/>
  <c r="Q60" i="1"/>
  <c r="AK60" i="1"/>
  <c r="AC54" i="1"/>
  <c r="AC16" i="1"/>
  <c r="AC25" i="1"/>
  <c r="AC47" i="1"/>
  <c r="AC18" i="1"/>
  <c r="AC10" i="1"/>
  <c r="AC19" i="1"/>
  <c r="T53" i="1"/>
  <c r="AK53" i="1"/>
  <c r="Q41" i="1"/>
  <c r="AJ41" i="1" s="1"/>
  <c r="AK41" i="1"/>
  <c r="Q29" i="1"/>
  <c r="AJ29" i="1" s="1"/>
  <c r="AK29" i="1"/>
  <c r="AL29" i="1" s="1"/>
  <c r="Q17" i="1"/>
  <c r="AJ17" i="1" s="1"/>
  <c r="AC20" i="1"/>
  <c r="Q52" i="1"/>
  <c r="AJ52" i="1" s="1"/>
  <c r="AK52" i="1"/>
  <c r="Q40" i="1"/>
  <c r="AJ40" i="1" s="1"/>
  <c r="AK40" i="1"/>
  <c r="Q28" i="1"/>
  <c r="AJ28" i="1" s="1"/>
  <c r="AK28" i="1"/>
  <c r="AL28" i="1" s="1"/>
  <c r="Q16" i="1"/>
  <c r="AJ16" i="1" s="1"/>
  <c r="AL16" i="1" s="1"/>
  <c r="AC31" i="1"/>
  <c r="Q51" i="1"/>
  <c r="AJ51" i="1" s="1"/>
  <c r="X39" i="1"/>
  <c r="AK39" i="1"/>
  <c r="T27" i="1"/>
  <c r="AK27" i="1"/>
  <c r="AE15" i="1"/>
  <c r="AF15" i="1"/>
  <c r="AC41" i="1"/>
  <c r="X50" i="1"/>
  <c r="AK50" i="1"/>
  <c r="X38" i="1"/>
  <c r="AK38" i="1"/>
  <c r="T26" i="1"/>
  <c r="AK26" i="1"/>
  <c r="T14" i="1"/>
  <c r="AK14" i="1"/>
  <c r="X37" i="1"/>
  <c r="AK37" i="1"/>
  <c r="T36" i="1"/>
  <c r="AK36" i="1"/>
  <c r="X24" i="1"/>
  <c r="AK24" i="1"/>
  <c r="X59" i="1"/>
  <c r="Q47" i="1"/>
  <c r="AJ47" i="1" s="1"/>
  <c r="AL47" i="1" s="1"/>
  <c r="Q23" i="1"/>
  <c r="AJ23" i="1" s="1"/>
  <c r="Q11" i="1"/>
  <c r="AJ11" i="1" s="1"/>
  <c r="AL11" i="1" s="1"/>
  <c r="AK23" i="1"/>
  <c r="T10" i="1"/>
  <c r="AK10" i="1"/>
  <c r="Q46" i="1"/>
  <c r="AJ46" i="1" s="1"/>
  <c r="X34" i="1"/>
  <c r="Q22" i="1"/>
  <c r="AJ22" i="1" s="1"/>
  <c r="AK22" i="1"/>
  <c r="AL22" i="1" s="1"/>
  <c r="Q45" i="1"/>
  <c r="AJ45" i="1" s="1"/>
  <c r="AL45" i="1" s="1"/>
  <c r="X33" i="1"/>
  <c r="T21" i="1"/>
  <c r="AK21" i="1"/>
  <c r="AK35" i="1"/>
  <c r="AK34" i="1"/>
  <c r="T49" i="1"/>
  <c r="X13" i="1"/>
  <c r="X48" i="1"/>
  <c r="Q12" i="1"/>
  <c r="AJ12" i="1" s="1"/>
  <c r="Q44" i="1"/>
  <c r="AJ44" i="1" s="1"/>
  <c r="AL44" i="1" s="1"/>
  <c r="Q32" i="1"/>
  <c r="AJ32" i="1" s="1"/>
  <c r="AL32" i="1" s="1"/>
  <c r="Q20" i="1"/>
  <c r="AJ20" i="1" s="1"/>
  <c r="T43" i="1"/>
  <c r="Q31" i="1"/>
  <c r="AJ31" i="1" s="1"/>
  <c r="AL31" i="1" s="1"/>
  <c r="X19" i="1"/>
  <c r="X10" i="1"/>
  <c r="Q48" i="1"/>
  <c r="AJ48" i="1" s="1"/>
  <c r="AL48" i="1" s="1"/>
  <c r="Q36" i="1"/>
  <c r="AJ36" i="1" s="1"/>
  <c r="T19" i="1"/>
  <c r="Q24" i="1"/>
  <c r="AJ24" i="1" s="1"/>
  <c r="Q59" i="1"/>
  <c r="AJ59" i="1" s="1"/>
  <c r="Q58" i="1"/>
  <c r="AJ58" i="1" s="1"/>
  <c r="AL58" i="1" s="1"/>
  <c r="Q57" i="1"/>
  <c r="AJ57" i="1" s="1"/>
  <c r="Q21" i="1"/>
  <c r="AJ21" i="1" s="1"/>
  <c r="Q43" i="1"/>
  <c r="AJ43" i="1" s="1"/>
  <c r="Q19" i="1"/>
  <c r="AJ19" i="1" s="1"/>
  <c r="AL19" i="1" s="1"/>
  <c r="Q53" i="1"/>
  <c r="AJ53" i="1" s="1"/>
  <c r="Q10" i="1"/>
  <c r="AJ10" i="1" s="1"/>
  <c r="Q50" i="1"/>
  <c r="AJ50" i="1" s="1"/>
  <c r="Q38" i="1"/>
  <c r="AJ38" i="1" s="1"/>
  <c r="Q26" i="1"/>
  <c r="AJ26" i="1" s="1"/>
  <c r="Q14" i="1"/>
  <c r="AJ14" i="1" s="1"/>
  <c r="Q35" i="1"/>
  <c r="AJ35" i="1" s="1"/>
  <c r="Q34" i="1"/>
  <c r="AJ34" i="1" s="1"/>
  <c r="Q33" i="1"/>
  <c r="AJ33" i="1" s="1"/>
  <c r="Q42" i="1"/>
  <c r="AJ42" i="1" s="1"/>
  <c r="Q30" i="1"/>
  <c r="AJ30" i="1" s="1"/>
  <c r="AL30" i="1" s="1"/>
  <c r="Q39" i="1"/>
  <c r="AJ39" i="1" s="1"/>
  <c r="Q27" i="1"/>
  <c r="AJ27" i="1" s="1"/>
  <c r="S12" i="1"/>
  <c r="T4" i="1" s="1"/>
  <c r="Q49" i="1"/>
  <c r="AJ49" i="1" s="1"/>
  <c r="AL49" i="1" s="1"/>
  <c r="Q37" i="1"/>
  <c r="AJ37" i="1" s="1"/>
  <c r="Q25" i="1"/>
  <c r="AJ25" i="1" s="1"/>
  <c r="AL25" i="1" s="1"/>
  <c r="Q13" i="1"/>
  <c r="AJ13" i="1" s="1"/>
  <c r="AL13" i="1" s="1"/>
  <c r="T35" i="1"/>
  <c r="T37" i="1"/>
  <c r="T33" i="1"/>
  <c r="S14" i="1"/>
  <c r="S37" i="1"/>
  <c r="T22" i="1"/>
  <c r="T38" i="1"/>
  <c r="T39" i="1"/>
  <c r="X27" i="1"/>
  <c r="X26" i="1"/>
  <c r="S57" i="1"/>
  <c r="T23" i="1"/>
  <c r="T50" i="1"/>
  <c r="X25" i="1"/>
  <c r="Y33" i="1"/>
  <c r="T24" i="1"/>
  <c r="T51" i="1"/>
  <c r="X15" i="1"/>
  <c r="T15" i="1"/>
  <c r="S38" i="1"/>
  <c r="S33" i="1"/>
  <c r="T25" i="1"/>
  <c r="X14" i="1"/>
  <c r="S25" i="1"/>
  <c r="X51" i="1"/>
  <c r="S24" i="1"/>
  <c r="X43" i="1"/>
  <c r="S13" i="1"/>
  <c r="T56" i="1"/>
  <c r="X56" i="1"/>
  <c r="T44" i="1"/>
  <c r="X32" i="1"/>
  <c r="S32" i="1"/>
  <c r="X20" i="1"/>
  <c r="S59" i="1"/>
  <c r="X31" i="1"/>
  <c r="T31" i="1"/>
  <c r="S31" i="1"/>
  <c r="S56" i="1"/>
  <c r="S26" i="1"/>
  <c r="T20" i="1"/>
  <c r="S50" i="1"/>
  <c r="T54" i="1"/>
  <c r="T42" i="1"/>
  <c r="X42" i="1"/>
  <c r="T30" i="1"/>
  <c r="X30" i="1"/>
  <c r="S30" i="1"/>
  <c r="T18" i="1"/>
  <c r="X18" i="1"/>
  <c r="S55" i="1"/>
  <c r="T41" i="1"/>
  <c r="X41" i="1"/>
  <c r="T29" i="1"/>
  <c r="S29" i="1"/>
  <c r="X17" i="1"/>
  <c r="T17" i="1"/>
  <c r="S54" i="1"/>
  <c r="S52" i="1"/>
  <c r="S40" i="1"/>
  <c r="T40" i="1"/>
  <c r="X40" i="1"/>
  <c r="Y40" i="1" s="1"/>
  <c r="S28" i="1"/>
  <c r="T28" i="1"/>
  <c r="T16" i="1"/>
  <c r="S16" i="1"/>
  <c r="X16" i="1"/>
  <c r="S53" i="1"/>
  <c r="S20" i="1"/>
  <c r="S44" i="1"/>
  <c r="S19" i="1"/>
  <c r="X55" i="1"/>
  <c r="X29" i="1"/>
  <c r="S43" i="1"/>
  <c r="S18" i="1"/>
  <c r="X54" i="1"/>
  <c r="X28" i="1"/>
  <c r="S42" i="1"/>
  <c r="S17" i="1"/>
  <c r="X53" i="1"/>
  <c r="S41" i="1"/>
  <c r="T52" i="1"/>
  <c r="X52" i="1"/>
  <c r="X47" i="1"/>
  <c r="T47" i="1"/>
  <c r="S47" i="1"/>
  <c r="X35" i="1"/>
  <c r="S35" i="1"/>
  <c r="X23" i="1"/>
  <c r="S23" i="1"/>
  <c r="X11" i="1"/>
  <c r="T11" i="1"/>
  <c r="S11" i="1"/>
  <c r="T32" i="1"/>
  <c r="T55" i="1"/>
  <c r="S48" i="1"/>
  <c r="X58" i="1"/>
  <c r="T58" i="1"/>
  <c r="X46" i="1"/>
  <c r="S46" i="1"/>
  <c r="T46" i="1"/>
  <c r="X22" i="1"/>
  <c r="S22" i="1"/>
  <c r="S10" i="1"/>
  <c r="T59" i="1"/>
  <c r="T57" i="1"/>
  <c r="X57" i="1"/>
  <c r="X45" i="1"/>
  <c r="S45" i="1"/>
  <c r="T45" i="1"/>
  <c r="U45" i="1" s="1"/>
  <c r="S21" i="1"/>
  <c r="X21" i="1"/>
  <c r="S58" i="1"/>
  <c r="S34" i="1"/>
  <c r="T34" i="1"/>
  <c r="X44" i="1"/>
  <c r="S49" i="1"/>
  <c r="X49" i="1"/>
  <c r="T13" i="1"/>
  <c r="X36" i="1"/>
  <c r="S36" i="1"/>
  <c r="X12" i="1"/>
  <c r="T12" i="1"/>
  <c r="T48" i="1"/>
  <c r="S51" i="1"/>
  <c r="S39" i="1"/>
  <c r="S27" i="1"/>
  <c r="S15" i="1"/>
  <c r="AL12" i="1" l="1"/>
  <c r="AK4" i="1"/>
  <c r="AF64" i="1"/>
  <c r="AE64" i="1"/>
  <c r="AJ64" i="1"/>
  <c r="AE67" i="1"/>
  <c r="AJ67" i="1"/>
  <c r="AF67" i="1"/>
  <c r="AG67" i="1" s="1"/>
  <c r="AL15" i="1"/>
  <c r="U65" i="1"/>
  <c r="AJ18" i="1"/>
  <c r="AL18" i="1" s="1"/>
  <c r="Y65" i="1"/>
  <c r="AF68" i="1"/>
  <c r="AG68" i="1" s="1"/>
  <c r="AJ68" i="1"/>
  <c r="AE68" i="1"/>
  <c r="AJ65" i="1"/>
  <c r="AF65" i="1"/>
  <c r="AE65" i="1"/>
  <c r="Y69" i="1"/>
  <c r="AF18" i="1"/>
  <c r="AG18" i="1" s="1"/>
  <c r="Y64" i="1"/>
  <c r="AF66" i="1"/>
  <c r="AJ66" i="1"/>
  <c r="AE66" i="1"/>
  <c r="U69" i="1"/>
  <c r="AL21" i="1"/>
  <c r="AL51" i="1"/>
  <c r="U67" i="1"/>
  <c r="AF69" i="1"/>
  <c r="AE69" i="1"/>
  <c r="AJ69" i="1"/>
  <c r="AG15" i="1"/>
  <c r="AL46" i="1"/>
  <c r="AL56" i="1"/>
  <c r="AL57" i="1"/>
  <c r="AL20" i="1"/>
  <c r="AL24" i="1"/>
  <c r="AL50" i="1"/>
  <c r="AL59" i="1"/>
  <c r="AE54" i="1"/>
  <c r="AG54" i="1" s="1"/>
  <c r="AL40" i="1"/>
  <c r="AF56" i="1"/>
  <c r="AG56" i="1" s="1"/>
  <c r="AL26" i="1"/>
  <c r="AL17" i="1"/>
  <c r="Y57" i="1"/>
  <c r="Y37" i="1"/>
  <c r="AL42" i="1"/>
  <c r="AL43" i="1"/>
  <c r="AL38" i="1"/>
  <c r="U63" i="1"/>
  <c r="U53" i="1"/>
  <c r="Y50" i="1"/>
  <c r="AL33" i="1"/>
  <c r="AL41" i="1"/>
  <c r="Y63" i="1"/>
  <c r="AJ54" i="1"/>
  <c r="AL39" i="1"/>
  <c r="AL53" i="1"/>
  <c r="AL36" i="1"/>
  <c r="AL52" i="1"/>
  <c r="AL10" i="1"/>
  <c r="Y39" i="1"/>
  <c r="AE62" i="1"/>
  <c r="AJ62" i="1"/>
  <c r="AL62" i="1" s="1"/>
  <c r="AF62" i="1"/>
  <c r="U26" i="1"/>
  <c r="Y61" i="1"/>
  <c r="Y59" i="1"/>
  <c r="AL37" i="1"/>
  <c r="AJ61" i="1"/>
  <c r="AL61" i="1" s="1"/>
  <c r="AE61" i="1"/>
  <c r="AF61" i="1"/>
  <c r="AJ60" i="1"/>
  <c r="AL60" i="1" s="1"/>
  <c r="AE60" i="1"/>
  <c r="AF60" i="1"/>
  <c r="Y24" i="1"/>
  <c r="AL34" i="1"/>
  <c r="AL23" i="1"/>
  <c r="AL14" i="1"/>
  <c r="AL27" i="1"/>
  <c r="AB3" i="1"/>
  <c r="AG55" i="1"/>
  <c r="AL35" i="1"/>
  <c r="U62" i="1"/>
  <c r="AJ63" i="1"/>
  <c r="AL63" i="1" s="1"/>
  <c r="AE63" i="1"/>
  <c r="AF63" i="1"/>
  <c r="AE35" i="1"/>
  <c r="AF35" i="1"/>
  <c r="AE58" i="1"/>
  <c r="AF58" i="1"/>
  <c r="AE32" i="1"/>
  <c r="AF32" i="1"/>
  <c r="AG32" i="1" s="1"/>
  <c r="U14" i="1"/>
  <c r="AF13" i="1"/>
  <c r="AE13" i="1"/>
  <c r="AF14" i="1"/>
  <c r="AE14" i="1"/>
  <c r="AE59" i="1"/>
  <c r="AF59" i="1"/>
  <c r="AF44" i="1"/>
  <c r="AE44" i="1"/>
  <c r="U36" i="1"/>
  <c r="AE25" i="1"/>
  <c r="AF25" i="1"/>
  <c r="AG25" i="1" s="1"/>
  <c r="AE26" i="1"/>
  <c r="AF26" i="1"/>
  <c r="AG26" i="1" s="1"/>
  <c r="AF12" i="1"/>
  <c r="AE12" i="1"/>
  <c r="AF4" i="1" s="1"/>
  <c r="AF47" i="1"/>
  <c r="AE47" i="1"/>
  <c r="AE51" i="1"/>
  <c r="AF51" i="1"/>
  <c r="AE52" i="1"/>
  <c r="AF52" i="1"/>
  <c r="U21" i="1"/>
  <c r="U43" i="1"/>
  <c r="AF37" i="1"/>
  <c r="AE37" i="1"/>
  <c r="AF38" i="1"/>
  <c r="AE38" i="1"/>
  <c r="AF24" i="1"/>
  <c r="AE24" i="1"/>
  <c r="AF46" i="1"/>
  <c r="AE46" i="1"/>
  <c r="U10" i="1"/>
  <c r="AE49" i="1"/>
  <c r="AF49" i="1"/>
  <c r="AE50" i="1"/>
  <c r="AF50" i="1"/>
  <c r="AG50" i="1" s="1"/>
  <c r="AF42" i="1"/>
  <c r="AE42" i="1"/>
  <c r="AE43" i="1"/>
  <c r="AF43" i="1"/>
  <c r="AG43" i="1" s="1"/>
  <c r="AE31" i="1"/>
  <c r="AF31" i="1"/>
  <c r="AE11" i="1"/>
  <c r="AF11" i="1"/>
  <c r="AG11" i="1" s="1"/>
  <c r="AF33" i="1"/>
  <c r="AE33" i="1"/>
  <c r="AF21" i="1"/>
  <c r="AE21" i="1"/>
  <c r="AE34" i="1"/>
  <c r="AF34" i="1"/>
  <c r="AF57" i="1"/>
  <c r="AE57" i="1"/>
  <c r="AF20" i="1"/>
  <c r="AE20" i="1"/>
  <c r="AF22" i="1"/>
  <c r="AE22" i="1"/>
  <c r="AF23" i="1"/>
  <c r="AE23" i="1"/>
  <c r="AE40" i="1"/>
  <c r="AF40" i="1"/>
  <c r="AG40" i="1" s="1"/>
  <c r="AE41" i="1"/>
  <c r="AF41" i="1"/>
  <c r="AF10" i="1"/>
  <c r="AE10" i="1"/>
  <c r="AF36" i="1"/>
  <c r="AE36" i="1"/>
  <c r="AE27" i="1"/>
  <c r="AF27" i="1"/>
  <c r="AG27" i="1" s="1"/>
  <c r="AE48" i="1"/>
  <c r="AF48" i="1"/>
  <c r="AF45" i="1"/>
  <c r="AE45" i="1"/>
  <c r="AE16" i="1"/>
  <c r="AF16" i="1"/>
  <c r="AE17" i="1"/>
  <c r="AF17" i="1"/>
  <c r="AG17" i="1" s="1"/>
  <c r="U27" i="1"/>
  <c r="Y34" i="1"/>
  <c r="AE39" i="1"/>
  <c r="AF39" i="1"/>
  <c r="AG39" i="1" s="1"/>
  <c r="AE53" i="1"/>
  <c r="AF53" i="1"/>
  <c r="Y38" i="1"/>
  <c r="U38" i="1"/>
  <c r="AE30" i="1"/>
  <c r="AF30" i="1"/>
  <c r="AE19" i="1"/>
  <c r="AF19" i="1"/>
  <c r="AG19" i="1" s="1"/>
  <c r="AE28" i="1"/>
  <c r="AF28" i="1"/>
  <c r="AE29" i="1"/>
  <c r="AF29" i="1"/>
  <c r="AG29" i="1" s="1"/>
  <c r="AB6" i="1"/>
  <c r="Y13" i="1"/>
  <c r="U49" i="1"/>
  <c r="Y48" i="1"/>
  <c r="Y35" i="1"/>
  <c r="Y19" i="1"/>
  <c r="Y14" i="1"/>
  <c r="U37" i="1"/>
  <c r="U19" i="1"/>
  <c r="Y10" i="1"/>
  <c r="U28" i="1"/>
  <c r="Y25" i="1"/>
  <c r="Y51" i="1"/>
  <c r="Y46" i="1"/>
  <c r="Y32" i="1"/>
  <c r="Y15" i="1"/>
  <c r="Y36" i="1"/>
  <c r="U12" i="1"/>
  <c r="Y29" i="1"/>
  <c r="Y30" i="1"/>
  <c r="U22" i="1"/>
  <c r="Y44" i="1"/>
  <c r="U33" i="1"/>
  <c r="X6" i="1"/>
  <c r="U40" i="1"/>
  <c r="T6" i="1"/>
  <c r="U35" i="1"/>
  <c r="Y16" i="1"/>
  <c r="Y42" i="1"/>
  <c r="U48" i="1"/>
  <c r="Y43" i="1"/>
  <c r="Y27" i="1"/>
  <c r="U24" i="1"/>
  <c r="Y18" i="1"/>
  <c r="U51" i="1"/>
  <c r="U52" i="1"/>
  <c r="Y26" i="1"/>
  <c r="U42" i="1"/>
  <c r="U39" i="1"/>
  <c r="Y20" i="1"/>
  <c r="U59" i="1"/>
  <c r="Y58" i="1"/>
  <c r="Y11" i="1"/>
  <c r="Y55" i="1"/>
  <c r="U23" i="1"/>
  <c r="U50" i="1"/>
  <c r="U56" i="1"/>
  <c r="Y23" i="1"/>
  <c r="U20" i="1"/>
  <c r="Y45" i="1"/>
  <c r="Y53" i="1"/>
  <c r="U15" i="1"/>
  <c r="U57" i="1"/>
  <c r="U34" i="1"/>
  <c r="U46" i="1"/>
  <c r="U55" i="1"/>
  <c r="U25" i="1"/>
  <c r="U41" i="1"/>
  <c r="U30" i="1"/>
  <c r="U16" i="1"/>
  <c r="Y12" i="1"/>
  <c r="Y22" i="1"/>
  <c r="U47" i="1"/>
  <c r="U17" i="1"/>
  <c r="U31" i="1"/>
  <c r="Y17" i="1"/>
  <c r="U54" i="1"/>
  <c r="Y31" i="1"/>
  <c r="U32" i="1"/>
  <c r="Y47" i="1"/>
  <c r="Y28" i="1"/>
  <c r="U44" i="1"/>
  <c r="U13" i="1"/>
  <c r="Y21" i="1"/>
  <c r="Y54" i="1"/>
  <c r="U29" i="1"/>
  <c r="U18" i="1"/>
  <c r="Y49" i="1"/>
  <c r="U58" i="1"/>
  <c r="U11" i="1"/>
  <c r="Y52" i="1"/>
  <c r="Y41" i="1"/>
  <c r="Y56" i="1"/>
  <c r="AG66" i="1" l="1"/>
  <c r="AK6" i="1"/>
  <c r="AG69" i="1"/>
  <c r="AG65" i="1"/>
  <c r="AG61" i="1"/>
  <c r="AG64" i="1"/>
  <c r="AG52" i="1"/>
  <c r="AG58" i="1"/>
  <c r="AG51" i="1"/>
  <c r="AG35" i="1"/>
  <c r="AG63" i="1"/>
  <c r="AG62" i="1"/>
  <c r="AL54" i="1"/>
  <c r="AK3" i="1" s="1"/>
  <c r="AK5" i="1" s="1"/>
  <c r="AG30" i="1"/>
  <c r="AG16" i="1"/>
  <c r="AG41" i="1"/>
  <c r="AG34" i="1"/>
  <c r="AG23" i="1"/>
  <c r="AG33" i="1"/>
  <c r="AG36" i="1"/>
  <c r="AG20" i="1"/>
  <c r="AG60" i="1"/>
  <c r="AB5" i="1"/>
  <c r="X3" i="1"/>
  <c r="X5" i="1" s="1"/>
  <c r="AF6" i="1"/>
  <c r="AG24" i="1"/>
  <c r="AG47" i="1"/>
  <c r="AG10" i="1"/>
  <c r="AG57" i="1"/>
  <c r="AG14" i="1"/>
  <c r="AG38" i="1"/>
  <c r="AG12" i="1"/>
  <c r="AG42" i="1"/>
  <c r="AG13" i="1"/>
  <c r="AG37" i="1"/>
  <c r="AG45" i="1"/>
  <c r="AG21" i="1"/>
  <c r="AG53" i="1"/>
  <c r="AG48" i="1"/>
  <c r="AG49" i="1"/>
  <c r="AG22" i="1"/>
  <c r="AG44" i="1"/>
  <c r="AG28" i="1"/>
  <c r="AG31" i="1"/>
  <c r="AG46" i="1"/>
  <c r="AG59" i="1"/>
  <c r="T3" i="1"/>
  <c r="T5" i="1" s="1"/>
  <c r="AF3" i="1" l="1"/>
  <c r="AF5" i="1"/>
</calcChain>
</file>

<file path=xl/sharedStrings.xml><?xml version="1.0" encoding="utf-8"?>
<sst xmlns="http://schemas.openxmlformats.org/spreadsheetml/2006/main" count="292" uniqueCount="95">
  <si>
    <t xml:space="preserve">null hypothesis: </t>
  </si>
  <si>
    <t>there is a positive edge in always betting on the underdog</t>
  </si>
  <si>
    <t>avg bet</t>
  </si>
  <si>
    <t>T1</t>
  </si>
  <si>
    <t>T2</t>
  </si>
  <si>
    <t>Canada</t>
  </si>
  <si>
    <t>Bosnia-Herzegovina</t>
  </si>
  <si>
    <t>USA</t>
  </si>
  <si>
    <t>Paraguay</t>
  </si>
  <si>
    <t xml:space="preserve">T1 win </t>
  </si>
  <si>
    <t>Draw</t>
  </si>
  <si>
    <t>T2 Win</t>
  </si>
  <si>
    <t>bet</t>
  </si>
  <si>
    <t>on</t>
  </si>
  <si>
    <t>result</t>
  </si>
  <si>
    <t>Qatar</t>
  </si>
  <si>
    <t>Switzerland</t>
  </si>
  <si>
    <t>Brazil</t>
  </si>
  <si>
    <t>Morocco</t>
  </si>
  <si>
    <t>Haiti</t>
  </si>
  <si>
    <t>Scotland</t>
  </si>
  <si>
    <t>Australia</t>
  </si>
  <si>
    <t>Turkey</t>
  </si>
  <si>
    <t>Germany</t>
  </si>
  <si>
    <t>Curcao</t>
  </si>
  <si>
    <t>Netherlands</t>
  </si>
  <si>
    <t>Japan</t>
  </si>
  <si>
    <t>Ivory Cost</t>
  </si>
  <si>
    <t>Ecuador</t>
  </si>
  <si>
    <t>Sweden</t>
  </si>
  <si>
    <t>Tunisia</t>
  </si>
  <si>
    <t>Czechia</t>
  </si>
  <si>
    <t>Mexico</t>
  </si>
  <si>
    <t>South Africa</t>
  </si>
  <si>
    <t>South Korea</t>
  </si>
  <si>
    <t>Curacao</t>
  </si>
  <si>
    <t>Norway</t>
  </si>
  <si>
    <t>France</t>
  </si>
  <si>
    <t>Senegal</t>
  </si>
  <si>
    <t>Iraq</t>
  </si>
  <si>
    <t>Cabo Verde</t>
  </si>
  <si>
    <t>Saudi Arabia</t>
  </si>
  <si>
    <t>Uruguay</t>
  </si>
  <si>
    <t>Spain</t>
  </si>
  <si>
    <t>Egypt</t>
  </si>
  <si>
    <t>Iran</t>
  </si>
  <si>
    <t>New Zeland</t>
  </si>
  <si>
    <t>Belgium</t>
  </si>
  <si>
    <t>Croatia</t>
  </si>
  <si>
    <t>Ghana</t>
  </si>
  <si>
    <t>Panama</t>
  </si>
  <si>
    <t>England</t>
  </si>
  <si>
    <t>Colombia</t>
  </si>
  <si>
    <t>Portugal</t>
  </si>
  <si>
    <t>Uzbekistan</t>
  </si>
  <si>
    <t>Algeria</t>
  </si>
  <si>
    <t>Austria</t>
  </si>
  <si>
    <t>Jordan</t>
  </si>
  <si>
    <t>Argentina</t>
  </si>
  <si>
    <t>T1 goal</t>
  </si>
  <si>
    <t>T2goal</t>
  </si>
  <si>
    <t>Portugalia</t>
  </si>
  <si>
    <t>DRC</t>
  </si>
  <si>
    <t>Ivory Coast</t>
  </si>
  <si>
    <t>Equador</t>
  </si>
  <si>
    <t>underdog</t>
  </si>
  <si>
    <t>win/loss</t>
  </si>
  <si>
    <t>payoff</t>
  </si>
  <si>
    <t>odds</t>
  </si>
  <si>
    <t>cost</t>
  </si>
  <si>
    <t>x</t>
  </si>
  <si>
    <t>favorite</t>
  </si>
  <si>
    <t>bet on underdog</t>
  </si>
  <si>
    <t>draw</t>
  </si>
  <si>
    <t>bet on draw</t>
  </si>
  <si>
    <t>yes/no</t>
  </si>
  <si>
    <t>bet against underdog</t>
  </si>
  <si>
    <t>bet against favorite</t>
  </si>
  <si>
    <t>winrate</t>
  </si>
  <si>
    <t>profit</t>
  </si>
  <si>
    <t>favorite won</t>
  </si>
  <si>
    <t>underdog won</t>
  </si>
  <si>
    <t>polymarket</t>
  </si>
  <si>
    <t>fifa.com</t>
  </si>
  <si>
    <t>null hypothesis failed</t>
  </si>
  <si>
    <t xml:space="preserve">betting on the underdog loses money by 58% </t>
  </si>
  <si>
    <t>bet on favorite</t>
  </si>
  <si>
    <t>of a draw</t>
  </si>
  <si>
    <t>noticable edge in betting against the favorite, but since betting on the underdog has negative alpha</t>
  </si>
  <si>
    <t>then the edge comes from the possibility of a draw</t>
  </si>
  <si>
    <t>note</t>
  </si>
  <si>
    <t>negative alpha due to the possibility of a draw</t>
  </si>
  <si>
    <t>no edge in betting on the favorite</t>
  </si>
  <si>
    <t>initial suspected edge was a mistake</t>
  </si>
  <si>
    <t xml:space="preserve"> surprise, it seems the market underestimates the possibility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</si>
</sst>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"/>
    <numFmt numFmtId="165" formatCode="&quot;$&quot;#,##0.00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  <charset val="238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6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0" fontId="1" fillId="0" borderId="0" xfId="0" applyFont="1"/>
    <xf numFmtId="165" fontId="0" fillId="0" borderId="0" xfId="0" applyNumberFormat="1"/>
    <xf numFmtId="14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164" fontId="0" fillId="2" borderId="0" xfId="0" applyNumberFormat="1" applyFill="1"/>
    <xf numFmtId="1" fontId="0" fillId="2" borderId="0" xfId="0" applyNumberFormat="1" applyFill="1"/>
    <xf numFmtId="14" fontId="2" fillId="2" borderId="0" xfId="0" applyNumberFormat="1" applyFont="1" applyFill="1"/>
    <xf numFmtId="0" fontId="2" fillId="2" borderId="0" xfId="0" applyFont="1" applyFill="1"/>
    <xf numFmtId="2" fontId="2" fillId="2" borderId="0" xfId="0" applyNumberFormat="1" applyFont="1" applyFill="1"/>
    <xf numFmtId="164" fontId="2" fillId="2" borderId="0" xfId="0" applyNumberFormat="1" applyFont="1" applyFill="1"/>
    <xf numFmtId="1" fontId="2" fillId="2" borderId="0" xfId="0" applyNumberFormat="1" applyFont="1" applyFill="1"/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414D-6AEB-40A0-ABC4-980189D5A524}">
  <dimension ref="B2:AM82"/>
  <sheetViews>
    <sheetView showGridLines="0" tabSelected="1" zoomScale="130" zoomScaleNormal="130" workbookViewId="0">
      <pane xSplit="4" ySplit="9" topLeftCell="X10" activePane="bottomRight" state="frozen"/>
      <selection pane="topRight" activeCell="E1" sqref="E1"/>
      <selection pane="bottomLeft" activeCell="A9" sqref="A9"/>
      <selection pane="bottomRight" activeCell="Z21" sqref="Z21"/>
    </sheetView>
  </sheetViews>
  <sheetFormatPr defaultRowHeight="13.2" x14ac:dyDescent="0.25"/>
  <cols>
    <col min="1" max="1" width="4.6640625" customWidth="1"/>
    <col min="2" max="2" width="9.109375" bestFit="1" customWidth="1"/>
    <col min="5" max="5" width="6.88671875" style="2" bestFit="1" customWidth="1"/>
    <col min="6" max="6" width="5.109375" style="2" bestFit="1" customWidth="1"/>
    <col min="7" max="7" width="6.88671875" style="2" bestFit="1" customWidth="1"/>
    <col min="9" max="9" width="3.5546875" style="3" bestFit="1" customWidth="1"/>
    <col min="11" max="11" width="7" style="4" bestFit="1" customWidth="1"/>
    <col min="12" max="12" width="6.5546875" style="4" bestFit="1" customWidth="1"/>
    <col min="16" max="18" width="8.88671875" customWidth="1"/>
    <col min="20" max="20" width="8.88671875" style="2"/>
  </cols>
  <sheetData>
    <row r="2" spans="2:38" x14ac:dyDescent="0.25">
      <c r="B2" t="s">
        <v>0</v>
      </c>
      <c r="E2"/>
      <c r="S2" t="s">
        <v>72</v>
      </c>
      <c r="W2" t="s">
        <v>86</v>
      </c>
      <c r="AA2" t="s">
        <v>74</v>
      </c>
      <c r="AE2" t="s">
        <v>77</v>
      </c>
      <c r="AJ2" t="s">
        <v>76</v>
      </c>
    </row>
    <row r="3" spans="2:38" s="7" customFormat="1" x14ac:dyDescent="0.25">
      <c r="B3" s="7" t="s">
        <v>1</v>
      </c>
      <c r="L3" s="9"/>
      <c r="M3" s="7" t="s">
        <v>73</v>
      </c>
      <c r="S3" s="7" t="s">
        <v>67</v>
      </c>
      <c r="T3" s="7">
        <f>+SUM(U9:U1048576)</f>
        <v>30.392028463680049</v>
      </c>
      <c r="W3" s="7" t="s">
        <v>67</v>
      </c>
      <c r="X3" s="7">
        <f>+SUM(Y9:Y1048576)</f>
        <v>60.093764039348521</v>
      </c>
      <c r="AA3" s="7" t="s">
        <v>67</v>
      </c>
      <c r="AB3" s="7">
        <f>+SUM(AC9:AC1048576)</f>
        <v>83.621017506363913</v>
      </c>
      <c r="AE3" s="7" t="s">
        <v>67</v>
      </c>
      <c r="AF3" s="7">
        <f>+SUM(AG9:AG1048576)</f>
        <v>71.155537702459995</v>
      </c>
      <c r="AJ3" s="7" t="s">
        <v>67</v>
      </c>
      <c r="AK3" s="7">
        <f>+SUM(AL9:AL1048576)</f>
        <v>40.49608772498803</v>
      </c>
    </row>
    <row r="4" spans="2:38" s="7" customFormat="1" x14ac:dyDescent="0.25">
      <c r="S4" s="7" t="s">
        <v>69</v>
      </c>
      <c r="T4" s="7">
        <f>+COUNT(S10:S82)</f>
        <v>62</v>
      </c>
      <c r="W4" s="7" t="s">
        <v>69</v>
      </c>
      <c r="X4" s="7">
        <f>+COUNT(W10:W82)</f>
        <v>62</v>
      </c>
      <c r="AA4" s="7" t="s">
        <v>69</v>
      </c>
      <c r="AB4" s="7">
        <f>+COUNT(AA10:AA82)</f>
        <v>62</v>
      </c>
      <c r="AE4" s="7" t="s">
        <v>69</v>
      </c>
      <c r="AF4" s="7">
        <f>+COUNT(AE10:AE82)</f>
        <v>62</v>
      </c>
      <c r="AJ4" s="7" t="s">
        <v>69</v>
      </c>
      <c r="AK4" s="7">
        <f>+COUNT(AJ10:AJ82)</f>
        <v>61</v>
      </c>
    </row>
    <row r="5" spans="2:38" x14ac:dyDescent="0.25">
      <c r="B5" t="s">
        <v>2</v>
      </c>
      <c r="C5" s="1">
        <v>1</v>
      </c>
      <c r="S5" t="s">
        <v>79</v>
      </c>
      <c r="T5" s="5">
        <f>+T3/T4-1</f>
        <v>-0.50980599252128955</v>
      </c>
      <c r="W5" t="s">
        <v>79</v>
      </c>
      <c r="X5" s="5">
        <f>+X3/X4-1</f>
        <v>-3.0745741300830298E-2</v>
      </c>
      <c r="AA5" t="s">
        <v>79</v>
      </c>
      <c r="AB5" s="5">
        <f>+AB3/AB4-1</f>
        <v>0.34872608881232114</v>
      </c>
      <c r="AE5" t="s">
        <v>79</v>
      </c>
      <c r="AF5" s="5">
        <f>+AF3/AF4-1</f>
        <v>0.14766996294290324</v>
      </c>
      <c r="AJ5" t="s">
        <v>79</v>
      </c>
      <c r="AK5" s="5">
        <f>+AK3/AK4-1</f>
        <v>-0.33612970942642573</v>
      </c>
    </row>
    <row r="6" spans="2:38" x14ac:dyDescent="0.25">
      <c r="D6" s="1"/>
      <c r="S6" t="s">
        <v>78</v>
      </c>
      <c r="T6" s="5">
        <f>+SUM(S10:S59)/COUNT(S10:S59)</f>
        <v>0.08</v>
      </c>
      <c r="W6" t="s">
        <v>78</v>
      </c>
      <c r="X6" s="5">
        <f>+SUM(W10:W59)/COUNT(W10:W59)</f>
        <v>0.64</v>
      </c>
      <c r="AA6" t="s">
        <v>78</v>
      </c>
      <c r="AB6" s="5">
        <f>+SUM(AA10:AA59)/COUNT(AA10:AA59)</f>
        <v>0.28000000000000003</v>
      </c>
      <c r="AE6" t="s">
        <v>78</v>
      </c>
      <c r="AF6" s="5">
        <f>+SUM(AE10:AE59)/COUNT(AE10:AE59)</f>
        <v>0.36</v>
      </c>
      <c r="AJ6" t="s">
        <v>78</v>
      </c>
      <c r="AK6" s="5">
        <f>+SUM(AJ10:AJ59)/COUNT(AJ10:AJ59)</f>
        <v>0.64</v>
      </c>
    </row>
    <row r="7" spans="2:38" x14ac:dyDescent="0.25">
      <c r="D7" s="2"/>
    </row>
    <row r="8" spans="2:38" x14ac:dyDescent="0.25">
      <c r="S8" t="s">
        <v>81</v>
      </c>
      <c r="W8" t="s">
        <v>80</v>
      </c>
      <c r="AA8" t="s">
        <v>73</v>
      </c>
      <c r="AE8" t="s">
        <v>77</v>
      </c>
      <c r="AJ8" t="s">
        <v>76</v>
      </c>
    </row>
    <row r="9" spans="2:38" x14ac:dyDescent="0.25">
      <c r="C9" t="s">
        <v>3</v>
      </c>
      <c r="D9" t="s">
        <v>4</v>
      </c>
      <c r="E9" s="2" t="s">
        <v>9</v>
      </c>
      <c r="F9" s="2" t="s">
        <v>10</v>
      </c>
      <c r="G9" s="2" t="s">
        <v>11</v>
      </c>
      <c r="I9" s="3" t="s">
        <v>12</v>
      </c>
      <c r="J9" s="2" t="s">
        <v>13</v>
      </c>
      <c r="K9" s="4" t="s">
        <v>59</v>
      </c>
      <c r="L9" s="4" t="s">
        <v>60</v>
      </c>
      <c r="M9" s="2" t="s">
        <v>14</v>
      </c>
      <c r="N9" s="2" t="s">
        <v>90</v>
      </c>
      <c r="P9" t="s">
        <v>65</v>
      </c>
      <c r="Q9" t="s">
        <v>71</v>
      </c>
      <c r="S9" t="s">
        <v>66</v>
      </c>
      <c r="T9" s="2" t="s">
        <v>68</v>
      </c>
      <c r="U9" t="s">
        <v>67</v>
      </c>
      <c r="W9" t="s">
        <v>66</v>
      </c>
      <c r="X9" s="2" t="s">
        <v>68</v>
      </c>
      <c r="Y9" t="s">
        <v>67</v>
      </c>
      <c r="AA9" t="s">
        <v>75</v>
      </c>
      <c r="AB9" t="s">
        <v>68</v>
      </c>
      <c r="AC9" t="s">
        <v>67</v>
      </c>
      <c r="AE9" t="s">
        <v>75</v>
      </c>
      <c r="AF9" t="s">
        <v>68</v>
      </c>
      <c r="AG9" t="s">
        <v>67</v>
      </c>
      <c r="AJ9" t="s">
        <v>75</v>
      </c>
      <c r="AK9" t="s">
        <v>68</v>
      </c>
      <c r="AL9" t="s">
        <v>67</v>
      </c>
    </row>
    <row r="10" spans="2:38" s="9" customFormat="1" x14ac:dyDescent="0.25">
      <c r="B10" s="8">
        <v>46184</v>
      </c>
      <c r="C10" s="9" t="s">
        <v>32</v>
      </c>
      <c r="D10" s="9" t="s">
        <v>33</v>
      </c>
      <c r="E10" s="10">
        <v>0.68500000000000005</v>
      </c>
      <c r="F10" s="10">
        <v>0.215</v>
      </c>
      <c r="G10" s="10">
        <v>0.105</v>
      </c>
      <c r="H10" s="10"/>
      <c r="I10" s="11"/>
      <c r="J10" s="10"/>
      <c r="K10" s="12">
        <v>2</v>
      </c>
      <c r="L10" s="12">
        <v>0</v>
      </c>
      <c r="M10" s="9" t="str">
        <f>+IF(K10&gt;L10,C10,IF(L10=K10,"draw",D10))</f>
        <v>Mexico</v>
      </c>
      <c r="N10" s="9" t="str">
        <f>IF(M10=P10,"dog win","fav win")</f>
        <v>fav win</v>
      </c>
      <c r="P10" s="9" t="str">
        <f t="shared" ref="P10:P41" si="0">+IF(G10&lt;E10,D10,C10)</f>
        <v>South Africa</v>
      </c>
      <c r="Q10" s="9" t="str">
        <f t="shared" ref="Q10:Q41" si="1">+IF(P10=C10,D10,C10)</f>
        <v>Mexico</v>
      </c>
      <c r="S10" s="9">
        <f t="shared" ref="S10:S41" si="2">+IF(P10=M10,1,0)</f>
        <v>0</v>
      </c>
      <c r="T10" s="10">
        <f t="shared" ref="T10:T41" si="3">+IF(P10=C10,E10,G10)</f>
        <v>0.105</v>
      </c>
      <c r="U10" s="10">
        <f t="shared" ref="U10:U59" si="4">1/T10*S10</f>
        <v>0</v>
      </c>
      <c r="W10" s="9">
        <f>+IF(P10=M10,0,IF(M10="draw",0,1))</f>
        <v>1</v>
      </c>
      <c r="X10" s="10">
        <f t="shared" ref="X10:X41" si="5">+IF(P10=C10,G10,E10)</f>
        <v>0.68500000000000005</v>
      </c>
      <c r="Y10" s="10">
        <f t="shared" ref="Y10:Y59" si="6">1/X10*W10</f>
        <v>1.4598540145985401</v>
      </c>
      <c r="AA10" s="9">
        <f>+IF(M10="draw",1,0)</f>
        <v>0</v>
      </c>
      <c r="AB10" s="10">
        <f>+F10</f>
        <v>0.215</v>
      </c>
      <c r="AC10" s="10">
        <f>1/AB10*AA10</f>
        <v>0</v>
      </c>
      <c r="AE10" s="9">
        <f t="shared" ref="AE10:AE59" si="7">+IF(Q10=M10,0,1)</f>
        <v>0</v>
      </c>
      <c r="AF10" s="10">
        <f t="shared" ref="AF10" si="8">1-IF(C10=Q10,E10,G10)</f>
        <v>0.31499999999999995</v>
      </c>
      <c r="AG10" s="10">
        <f t="shared" ref="AG10" si="9">1/AF10*AE10</f>
        <v>0</v>
      </c>
      <c r="AJ10" s="9">
        <f t="shared" ref="AJ10:AJ12" si="10">+IF(Q10=M10,1,0)</f>
        <v>1</v>
      </c>
      <c r="AK10" s="10">
        <f>1-IF(C10=P10,E10,G10)</f>
        <v>0.89500000000000002</v>
      </c>
      <c r="AL10" s="10">
        <f t="shared" ref="AL10:AL63" si="11">1/AK10*AJ10</f>
        <v>1.1173184357541899</v>
      </c>
    </row>
    <row r="11" spans="2:38" s="9" customFormat="1" x14ac:dyDescent="0.25">
      <c r="B11" s="8">
        <v>46184</v>
      </c>
      <c r="C11" s="9" t="s">
        <v>34</v>
      </c>
      <c r="D11" s="9" t="s">
        <v>31</v>
      </c>
      <c r="E11" s="10">
        <v>0.375</v>
      </c>
      <c r="F11" s="10">
        <v>0.315</v>
      </c>
      <c r="G11" s="10">
        <v>0.315</v>
      </c>
      <c r="H11" s="10"/>
      <c r="I11" s="11"/>
      <c r="J11" s="10"/>
      <c r="K11" s="12">
        <v>2</v>
      </c>
      <c r="L11" s="12">
        <v>1</v>
      </c>
      <c r="M11" s="9" t="str">
        <f t="shared" ref="M11:M70" si="12">+IF(K11&gt;L11,C11,IF(L11=K11,"draw",D11))</f>
        <v>South Korea</v>
      </c>
      <c r="N11" s="9" t="str">
        <f>IF(M11="draw","draw",IF(M11=P11,"dog win","fav win"))</f>
        <v>fav win</v>
      </c>
      <c r="P11" s="9" t="str">
        <f t="shared" si="0"/>
        <v>Czechia</v>
      </c>
      <c r="Q11" s="9" t="str">
        <f t="shared" si="1"/>
        <v>South Korea</v>
      </c>
      <c r="S11" s="9">
        <f t="shared" si="2"/>
        <v>0</v>
      </c>
      <c r="T11" s="10">
        <f t="shared" si="3"/>
        <v>0.315</v>
      </c>
      <c r="U11" s="10">
        <f t="shared" si="4"/>
        <v>0</v>
      </c>
      <c r="W11" s="9">
        <f t="shared" ref="W11:W71" si="13">+IF(P11=M11,0,IF(M11="draw",0,1))</f>
        <v>1</v>
      </c>
      <c r="X11" s="10">
        <f t="shared" si="5"/>
        <v>0.375</v>
      </c>
      <c r="Y11" s="10">
        <f t="shared" si="6"/>
        <v>2.6666666666666665</v>
      </c>
      <c r="AA11" s="9">
        <f t="shared" ref="AA11:AA69" si="14">+IF(M11="draw",1,0)</f>
        <v>0</v>
      </c>
      <c r="AB11" s="10">
        <f t="shared" ref="AB11:AB59" si="15">+F11</f>
        <v>0.315</v>
      </c>
      <c r="AC11" s="10">
        <f t="shared" ref="AC11:AC59" si="16">1/AB11*AA11</f>
        <v>0</v>
      </c>
      <c r="AE11" s="9">
        <f t="shared" si="7"/>
        <v>0</v>
      </c>
      <c r="AF11" s="10">
        <f t="shared" ref="AF11:AF59" si="17">1-IF(C11=Q11,E11,G11)</f>
        <v>0.625</v>
      </c>
      <c r="AG11" s="10">
        <f t="shared" ref="AG11:AG59" si="18">1/AF11*AE11</f>
        <v>0</v>
      </c>
      <c r="AJ11" s="9">
        <f t="shared" si="10"/>
        <v>1</v>
      </c>
      <c r="AK11" s="10">
        <f t="shared" ref="AK11:AK63" si="19">1-IF(C11=P11,E11,G11)</f>
        <v>0.68500000000000005</v>
      </c>
      <c r="AL11" s="10">
        <f t="shared" si="11"/>
        <v>1.4598540145985401</v>
      </c>
    </row>
    <row r="12" spans="2:38" s="9" customFormat="1" x14ac:dyDescent="0.25">
      <c r="B12" s="8">
        <v>46185</v>
      </c>
      <c r="C12" s="9" t="s">
        <v>5</v>
      </c>
      <c r="D12" s="9" t="s">
        <v>6</v>
      </c>
      <c r="E12" s="10">
        <v>0.54</v>
      </c>
      <c r="F12" s="10">
        <v>0.28000000000000003</v>
      </c>
      <c r="G12" s="10">
        <v>0.2</v>
      </c>
      <c r="H12" s="10"/>
      <c r="I12" s="11">
        <v>1</v>
      </c>
      <c r="J12" s="9" t="s">
        <v>6</v>
      </c>
      <c r="K12" s="12">
        <v>1</v>
      </c>
      <c r="L12" s="12">
        <v>1</v>
      </c>
      <c r="M12" s="9" t="str">
        <f t="shared" si="12"/>
        <v>draw</v>
      </c>
      <c r="N12" s="9" t="str">
        <f t="shared" ref="N12:N70" si="20">IF(M12="draw","draw",IF(M12=P12,"dog win","fav win"))</f>
        <v>draw</v>
      </c>
      <c r="P12" s="9" t="str">
        <f t="shared" si="0"/>
        <v>Bosnia-Herzegovina</v>
      </c>
      <c r="Q12" s="9" t="str">
        <f t="shared" si="1"/>
        <v>Canada</v>
      </c>
      <c r="S12" s="9">
        <f t="shared" si="2"/>
        <v>0</v>
      </c>
      <c r="T12" s="10">
        <f t="shared" si="3"/>
        <v>0.2</v>
      </c>
      <c r="U12" s="10">
        <f t="shared" si="4"/>
        <v>0</v>
      </c>
      <c r="W12" s="9">
        <f t="shared" si="13"/>
        <v>0</v>
      </c>
      <c r="X12" s="10">
        <f t="shared" si="5"/>
        <v>0.54</v>
      </c>
      <c r="Y12" s="10">
        <f t="shared" si="6"/>
        <v>0</v>
      </c>
      <c r="AA12" s="9">
        <f t="shared" si="14"/>
        <v>1</v>
      </c>
      <c r="AB12" s="10">
        <f t="shared" si="15"/>
        <v>0.28000000000000003</v>
      </c>
      <c r="AC12" s="10">
        <f t="shared" si="16"/>
        <v>3.5714285714285712</v>
      </c>
      <c r="AE12" s="9">
        <f t="shared" si="7"/>
        <v>1</v>
      </c>
      <c r="AF12" s="10">
        <f t="shared" si="17"/>
        <v>0.45999999999999996</v>
      </c>
      <c r="AG12" s="10">
        <f t="shared" si="18"/>
        <v>2.1739130434782612</v>
      </c>
      <c r="AJ12" s="9">
        <f t="shared" si="10"/>
        <v>0</v>
      </c>
      <c r="AK12" s="10">
        <f t="shared" si="19"/>
        <v>0.8</v>
      </c>
      <c r="AL12" s="10">
        <f t="shared" si="11"/>
        <v>0</v>
      </c>
    </row>
    <row r="13" spans="2:38" s="9" customFormat="1" x14ac:dyDescent="0.25">
      <c r="B13" s="8">
        <v>46185</v>
      </c>
      <c r="C13" s="9" t="s">
        <v>7</v>
      </c>
      <c r="D13" s="9" t="s">
        <v>8</v>
      </c>
      <c r="E13" s="10">
        <v>0.47</v>
      </c>
      <c r="F13" s="10">
        <v>0.3</v>
      </c>
      <c r="G13" s="10">
        <v>0.24</v>
      </c>
      <c r="H13" s="10"/>
      <c r="I13" s="11">
        <v>1</v>
      </c>
      <c r="J13" s="9" t="s">
        <v>8</v>
      </c>
      <c r="K13" s="12">
        <v>4</v>
      </c>
      <c r="L13" s="12">
        <v>1</v>
      </c>
      <c r="M13" s="9" t="str">
        <f t="shared" si="12"/>
        <v>USA</v>
      </c>
      <c r="N13" s="9" t="str">
        <f t="shared" si="20"/>
        <v>fav win</v>
      </c>
      <c r="P13" s="9" t="str">
        <f t="shared" si="0"/>
        <v>Paraguay</v>
      </c>
      <c r="Q13" s="9" t="str">
        <f t="shared" si="1"/>
        <v>USA</v>
      </c>
      <c r="S13" s="9">
        <f t="shared" si="2"/>
        <v>0</v>
      </c>
      <c r="T13" s="10">
        <f t="shared" si="3"/>
        <v>0.24</v>
      </c>
      <c r="U13" s="10">
        <f t="shared" si="4"/>
        <v>0</v>
      </c>
      <c r="W13" s="9">
        <f t="shared" si="13"/>
        <v>1</v>
      </c>
      <c r="X13" s="10">
        <f t="shared" si="5"/>
        <v>0.47</v>
      </c>
      <c r="Y13" s="10">
        <f t="shared" si="6"/>
        <v>2.1276595744680851</v>
      </c>
      <c r="AA13" s="9">
        <f t="shared" si="14"/>
        <v>0</v>
      </c>
      <c r="AB13" s="10">
        <f t="shared" si="15"/>
        <v>0.3</v>
      </c>
      <c r="AC13" s="10">
        <f t="shared" si="16"/>
        <v>0</v>
      </c>
      <c r="AE13" s="9">
        <f t="shared" si="7"/>
        <v>0</v>
      </c>
      <c r="AF13" s="10">
        <f t="shared" si="17"/>
        <v>0.53</v>
      </c>
      <c r="AG13" s="10">
        <f t="shared" si="18"/>
        <v>0</v>
      </c>
      <c r="AJ13" s="9">
        <f>+IF(Q13=M13,1,0)</f>
        <v>1</v>
      </c>
      <c r="AK13" s="10">
        <f t="shared" si="19"/>
        <v>0.76</v>
      </c>
      <c r="AL13" s="10">
        <f t="shared" si="11"/>
        <v>1.3157894736842106</v>
      </c>
    </row>
    <row r="14" spans="2:38" s="9" customFormat="1" x14ac:dyDescent="0.25">
      <c r="B14" s="8">
        <v>46186</v>
      </c>
      <c r="C14" s="9" t="s">
        <v>15</v>
      </c>
      <c r="D14" s="9" t="s">
        <v>16</v>
      </c>
      <c r="E14" s="10">
        <v>5.8999999999999997E-2</v>
      </c>
      <c r="F14" s="10">
        <v>0.14000000000000001</v>
      </c>
      <c r="G14" s="10">
        <v>0.81</v>
      </c>
      <c r="H14" s="10"/>
      <c r="I14" s="11">
        <v>1</v>
      </c>
      <c r="J14" s="9" t="s">
        <v>15</v>
      </c>
      <c r="K14" s="12">
        <v>1</v>
      </c>
      <c r="L14" s="12">
        <v>1</v>
      </c>
      <c r="M14" s="9" t="str">
        <f t="shared" si="12"/>
        <v>draw</v>
      </c>
      <c r="N14" s="9" t="str">
        <f t="shared" si="20"/>
        <v>draw</v>
      </c>
      <c r="P14" s="9" t="str">
        <f t="shared" si="0"/>
        <v>Qatar</v>
      </c>
      <c r="Q14" s="9" t="str">
        <f t="shared" si="1"/>
        <v>Switzerland</v>
      </c>
      <c r="S14" s="9">
        <f t="shared" si="2"/>
        <v>0</v>
      </c>
      <c r="T14" s="10">
        <f t="shared" si="3"/>
        <v>5.8999999999999997E-2</v>
      </c>
      <c r="U14" s="10">
        <f t="shared" si="4"/>
        <v>0</v>
      </c>
      <c r="W14" s="9">
        <f t="shared" si="13"/>
        <v>0</v>
      </c>
      <c r="X14" s="10">
        <f t="shared" si="5"/>
        <v>0.81</v>
      </c>
      <c r="Y14" s="10">
        <f t="shared" si="6"/>
        <v>0</v>
      </c>
      <c r="AA14" s="9">
        <f t="shared" si="14"/>
        <v>1</v>
      </c>
      <c r="AB14" s="10">
        <f t="shared" si="15"/>
        <v>0.14000000000000001</v>
      </c>
      <c r="AC14" s="10">
        <f t="shared" si="16"/>
        <v>7.1428571428571423</v>
      </c>
      <c r="AE14" s="9">
        <f t="shared" si="7"/>
        <v>1</v>
      </c>
      <c r="AF14" s="10">
        <f t="shared" si="17"/>
        <v>0.18999999999999995</v>
      </c>
      <c r="AG14" s="10">
        <f t="shared" si="18"/>
        <v>5.2631578947368434</v>
      </c>
      <c r="AJ14" s="9">
        <f t="shared" ref="AJ14:AJ70" si="21">+IF(Q14=M14,1,0)</f>
        <v>0</v>
      </c>
      <c r="AK14" s="10">
        <f t="shared" si="19"/>
        <v>0.94100000000000006</v>
      </c>
      <c r="AL14" s="10">
        <f t="shared" si="11"/>
        <v>0</v>
      </c>
    </row>
    <row r="15" spans="2:38" s="9" customFormat="1" x14ac:dyDescent="0.25">
      <c r="B15" s="8">
        <v>46186</v>
      </c>
      <c r="C15" s="9" t="s">
        <v>17</v>
      </c>
      <c r="D15" s="9" t="s">
        <v>18</v>
      </c>
      <c r="E15" s="10">
        <v>0.6</v>
      </c>
      <c r="F15" s="10">
        <v>0.25</v>
      </c>
      <c r="G15" s="10">
        <v>0.17</v>
      </c>
      <c r="H15" s="10"/>
      <c r="I15" s="11">
        <v>1</v>
      </c>
      <c r="J15" s="9" t="s">
        <v>18</v>
      </c>
      <c r="K15" s="12">
        <v>1</v>
      </c>
      <c r="L15" s="12">
        <v>1</v>
      </c>
      <c r="M15" s="9" t="str">
        <f t="shared" si="12"/>
        <v>draw</v>
      </c>
      <c r="N15" s="9" t="str">
        <f t="shared" si="20"/>
        <v>draw</v>
      </c>
      <c r="P15" s="9" t="str">
        <f t="shared" si="0"/>
        <v>Morocco</v>
      </c>
      <c r="Q15" s="9" t="str">
        <f t="shared" si="1"/>
        <v>Brazil</v>
      </c>
      <c r="S15" s="9">
        <f t="shared" si="2"/>
        <v>0</v>
      </c>
      <c r="T15" s="10">
        <f t="shared" si="3"/>
        <v>0.17</v>
      </c>
      <c r="U15" s="10">
        <f t="shared" si="4"/>
        <v>0</v>
      </c>
      <c r="W15" s="9">
        <f t="shared" si="13"/>
        <v>0</v>
      </c>
      <c r="X15" s="10">
        <f t="shared" si="5"/>
        <v>0.6</v>
      </c>
      <c r="Y15" s="10">
        <f t="shared" si="6"/>
        <v>0</v>
      </c>
      <c r="AA15" s="9">
        <f t="shared" si="14"/>
        <v>1</v>
      </c>
      <c r="AB15" s="10">
        <f t="shared" si="15"/>
        <v>0.25</v>
      </c>
      <c r="AC15" s="10">
        <f t="shared" si="16"/>
        <v>4</v>
      </c>
      <c r="AE15" s="9">
        <f t="shared" si="7"/>
        <v>1</v>
      </c>
      <c r="AF15" s="10">
        <f t="shared" si="17"/>
        <v>0.4</v>
      </c>
      <c r="AG15" s="10">
        <f t="shared" si="18"/>
        <v>2.5</v>
      </c>
      <c r="AJ15" s="9">
        <f t="shared" si="21"/>
        <v>0</v>
      </c>
      <c r="AK15" s="10">
        <f t="shared" si="19"/>
        <v>0.83</v>
      </c>
      <c r="AL15" s="10">
        <f t="shared" si="11"/>
        <v>0</v>
      </c>
    </row>
    <row r="16" spans="2:38" s="9" customFormat="1" x14ac:dyDescent="0.25">
      <c r="B16" s="8">
        <v>46186</v>
      </c>
      <c r="C16" s="9" t="s">
        <v>19</v>
      </c>
      <c r="D16" s="9" t="s">
        <v>20</v>
      </c>
      <c r="E16" s="10">
        <v>0.16</v>
      </c>
      <c r="F16" s="10">
        <v>0.23</v>
      </c>
      <c r="G16" s="10">
        <v>0.62</v>
      </c>
      <c r="H16" s="10"/>
      <c r="I16" s="11">
        <v>1</v>
      </c>
      <c r="J16" s="9" t="s">
        <v>19</v>
      </c>
      <c r="K16" s="12">
        <v>0</v>
      </c>
      <c r="L16" s="12">
        <v>1</v>
      </c>
      <c r="M16" s="9" t="str">
        <f t="shared" si="12"/>
        <v>Scotland</v>
      </c>
      <c r="N16" s="9" t="str">
        <f t="shared" si="20"/>
        <v>fav win</v>
      </c>
      <c r="P16" s="9" t="str">
        <f t="shared" si="0"/>
        <v>Haiti</v>
      </c>
      <c r="Q16" s="9" t="str">
        <f t="shared" si="1"/>
        <v>Scotland</v>
      </c>
      <c r="S16" s="9">
        <f t="shared" si="2"/>
        <v>0</v>
      </c>
      <c r="T16" s="10">
        <f t="shared" si="3"/>
        <v>0.16</v>
      </c>
      <c r="U16" s="10">
        <f t="shared" si="4"/>
        <v>0</v>
      </c>
      <c r="W16" s="9">
        <f t="shared" si="13"/>
        <v>1</v>
      </c>
      <c r="X16" s="10">
        <f t="shared" si="5"/>
        <v>0.62</v>
      </c>
      <c r="Y16" s="10">
        <f t="shared" si="6"/>
        <v>1.6129032258064517</v>
      </c>
      <c r="AA16" s="9">
        <f t="shared" si="14"/>
        <v>0</v>
      </c>
      <c r="AB16" s="10">
        <f t="shared" si="15"/>
        <v>0.23</v>
      </c>
      <c r="AC16" s="10">
        <f t="shared" si="16"/>
        <v>0</v>
      </c>
      <c r="AE16" s="9">
        <f t="shared" si="7"/>
        <v>0</v>
      </c>
      <c r="AF16" s="10">
        <f t="shared" si="17"/>
        <v>0.38</v>
      </c>
      <c r="AG16" s="10">
        <f t="shared" si="18"/>
        <v>0</v>
      </c>
      <c r="AJ16" s="9">
        <f t="shared" si="21"/>
        <v>1</v>
      </c>
      <c r="AK16" s="10">
        <f t="shared" si="19"/>
        <v>0.84</v>
      </c>
      <c r="AL16" s="10">
        <f t="shared" si="11"/>
        <v>1.1904761904761905</v>
      </c>
    </row>
    <row r="17" spans="2:38" s="9" customFormat="1" x14ac:dyDescent="0.25">
      <c r="B17" s="8">
        <v>46187</v>
      </c>
      <c r="C17" s="9" t="s">
        <v>21</v>
      </c>
      <c r="D17" s="9" t="s">
        <v>22</v>
      </c>
      <c r="E17" s="10">
        <v>0.19</v>
      </c>
      <c r="F17" s="10">
        <v>0.26</v>
      </c>
      <c r="G17" s="10">
        <v>0.56999999999999995</v>
      </c>
      <c r="H17" s="10"/>
      <c r="I17" s="11"/>
      <c r="K17" s="12">
        <v>2</v>
      </c>
      <c r="L17" s="12">
        <v>0</v>
      </c>
      <c r="M17" s="9" t="str">
        <f t="shared" si="12"/>
        <v>Australia</v>
      </c>
      <c r="N17" s="9" t="str">
        <f t="shared" si="20"/>
        <v>dog win</v>
      </c>
      <c r="P17" s="9" t="str">
        <f t="shared" si="0"/>
        <v>Australia</v>
      </c>
      <c r="Q17" s="9" t="str">
        <f t="shared" si="1"/>
        <v>Turkey</v>
      </c>
      <c r="S17" s="9">
        <f t="shared" si="2"/>
        <v>1</v>
      </c>
      <c r="T17" s="10">
        <f t="shared" si="3"/>
        <v>0.19</v>
      </c>
      <c r="U17" s="10">
        <f t="shared" si="4"/>
        <v>5.2631578947368425</v>
      </c>
      <c r="W17" s="9">
        <f t="shared" si="13"/>
        <v>0</v>
      </c>
      <c r="X17" s="10">
        <f t="shared" si="5"/>
        <v>0.56999999999999995</v>
      </c>
      <c r="Y17" s="10">
        <f t="shared" si="6"/>
        <v>0</v>
      </c>
      <c r="AA17" s="9">
        <f t="shared" si="14"/>
        <v>0</v>
      </c>
      <c r="AB17" s="10">
        <f t="shared" si="15"/>
        <v>0.26</v>
      </c>
      <c r="AC17" s="10">
        <f t="shared" si="16"/>
        <v>0</v>
      </c>
      <c r="AE17" s="9">
        <f t="shared" si="7"/>
        <v>1</v>
      </c>
      <c r="AF17" s="10">
        <f t="shared" si="17"/>
        <v>0.43000000000000005</v>
      </c>
      <c r="AG17" s="10">
        <f t="shared" si="18"/>
        <v>2.3255813953488369</v>
      </c>
      <c r="AJ17" s="9">
        <f t="shared" si="21"/>
        <v>0</v>
      </c>
      <c r="AK17" s="10">
        <f t="shared" si="19"/>
        <v>0.81</v>
      </c>
      <c r="AL17" s="10">
        <f t="shared" si="11"/>
        <v>0</v>
      </c>
    </row>
    <row r="18" spans="2:38" s="9" customFormat="1" x14ac:dyDescent="0.25">
      <c r="B18" s="8">
        <v>46187</v>
      </c>
      <c r="C18" s="9" t="s">
        <v>23</v>
      </c>
      <c r="D18" s="9" t="s">
        <v>24</v>
      </c>
      <c r="E18" s="10">
        <v>0.94099999999999995</v>
      </c>
      <c r="F18" s="10">
        <v>0.04</v>
      </c>
      <c r="G18" s="10">
        <v>2.1999999999999999E-2</v>
      </c>
      <c r="H18" s="10"/>
      <c r="I18" s="11"/>
      <c r="K18" s="12">
        <v>7</v>
      </c>
      <c r="L18" s="12">
        <v>1</v>
      </c>
      <c r="M18" s="9" t="str">
        <f t="shared" si="12"/>
        <v>Germany</v>
      </c>
      <c r="N18" s="9" t="str">
        <f t="shared" si="20"/>
        <v>fav win</v>
      </c>
      <c r="P18" s="9" t="str">
        <f t="shared" si="0"/>
        <v>Curcao</v>
      </c>
      <c r="Q18" s="9" t="str">
        <f t="shared" si="1"/>
        <v>Germany</v>
      </c>
      <c r="S18" s="9">
        <f t="shared" si="2"/>
        <v>0</v>
      </c>
      <c r="T18" s="10">
        <f t="shared" si="3"/>
        <v>2.1999999999999999E-2</v>
      </c>
      <c r="U18" s="10">
        <f t="shared" si="4"/>
        <v>0</v>
      </c>
      <c r="W18" s="9">
        <f t="shared" si="13"/>
        <v>1</v>
      </c>
      <c r="X18" s="10">
        <f t="shared" si="5"/>
        <v>0.94099999999999995</v>
      </c>
      <c r="Y18" s="10">
        <f t="shared" si="6"/>
        <v>1.0626992561105209</v>
      </c>
      <c r="AA18" s="9">
        <f t="shared" si="14"/>
        <v>0</v>
      </c>
      <c r="AB18" s="10">
        <f t="shared" si="15"/>
        <v>0.04</v>
      </c>
      <c r="AC18" s="10">
        <f t="shared" si="16"/>
        <v>0</v>
      </c>
      <c r="AE18" s="9">
        <f t="shared" si="7"/>
        <v>0</v>
      </c>
      <c r="AF18" s="10">
        <f t="shared" si="17"/>
        <v>5.9000000000000052E-2</v>
      </c>
      <c r="AG18" s="10">
        <f t="shared" si="18"/>
        <v>0</v>
      </c>
      <c r="AJ18" s="9">
        <f t="shared" si="21"/>
        <v>1</v>
      </c>
      <c r="AK18" s="10">
        <f t="shared" si="19"/>
        <v>0.97799999999999998</v>
      </c>
      <c r="AL18" s="10">
        <f t="shared" si="11"/>
        <v>1.0224948875255624</v>
      </c>
    </row>
    <row r="19" spans="2:38" s="9" customFormat="1" x14ac:dyDescent="0.25">
      <c r="B19" s="8">
        <v>46187</v>
      </c>
      <c r="C19" s="9" t="s">
        <v>25</v>
      </c>
      <c r="D19" s="9" t="s">
        <v>26</v>
      </c>
      <c r="E19" s="10">
        <v>0.49</v>
      </c>
      <c r="F19" s="10">
        <v>0.27</v>
      </c>
      <c r="G19" s="10">
        <v>0.26</v>
      </c>
      <c r="H19" s="10"/>
      <c r="I19" s="11"/>
      <c r="K19" s="12">
        <v>2</v>
      </c>
      <c r="L19" s="12">
        <v>2</v>
      </c>
      <c r="M19" s="9" t="str">
        <f t="shared" si="12"/>
        <v>draw</v>
      </c>
      <c r="N19" s="9" t="str">
        <f t="shared" si="20"/>
        <v>draw</v>
      </c>
      <c r="P19" s="9" t="str">
        <f t="shared" si="0"/>
        <v>Japan</v>
      </c>
      <c r="Q19" s="9" t="str">
        <f t="shared" si="1"/>
        <v>Netherlands</v>
      </c>
      <c r="S19" s="9">
        <f t="shared" si="2"/>
        <v>0</v>
      </c>
      <c r="T19" s="10">
        <f t="shared" si="3"/>
        <v>0.26</v>
      </c>
      <c r="U19" s="10">
        <f t="shared" si="4"/>
        <v>0</v>
      </c>
      <c r="W19" s="9">
        <f t="shared" si="13"/>
        <v>0</v>
      </c>
      <c r="X19" s="10">
        <f t="shared" si="5"/>
        <v>0.49</v>
      </c>
      <c r="Y19" s="10">
        <f t="shared" si="6"/>
        <v>0</v>
      </c>
      <c r="AA19" s="9">
        <f t="shared" si="14"/>
        <v>1</v>
      </c>
      <c r="AB19" s="10">
        <f t="shared" si="15"/>
        <v>0.27</v>
      </c>
      <c r="AC19" s="10">
        <f t="shared" si="16"/>
        <v>3.7037037037037033</v>
      </c>
      <c r="AE19" s="9">
        <f t="shared" si="7"/>
        <v>1</v>
      </c>
      <c r="AF19" s="10">
        <f t="shared" si="17"/>
        <v>0.51</v>
      </c>
      <c r="AG19" s="10">
        <f t="shared" si="18"/>
        <v>1.9607843137254901</v>
      </c>
      <c r="AJ19" s="9">
        <f t="shared" si="21"/>
        <v>0</v>
      </c>
      <c r="AK19" s="10">
        <f t="shared" si="19"/>
        <v>0.74</v>
      </c>
      <c r="AL19" s="10">
        <f t="shared" si="11"/>
        <v>0</v>
      </c>
    </row>
    <row r="20" spans="2:38" s="14" customFormat="1" x14ac:dyDescent="0.25">
      <c r="B20" s="13">
        <v>46187</v>
      </c>
      <c r="C20" s="14" t="s">
        <v>27</v>
      </c>
      <c r="D20" s="14" t="s">
        <v>28</v>
      </c>
      <c r="E20" s="15">
        <v>0.27</v>
      </c>
      <c r="F20" s="15">
        <v>0.34</v>
      </c>
      <c r="G20" s="15">
        <v>0.4</v>
      </c>
      <c r="H20" s="15"/>
      <c r="I20" s="16"/>
      <c r="K20" s="17">
        <v>1</v>
      </c>
      <c r="L20" s="17">
        <v>0</v>
      </c>
      <c r="M20" s="9" t="str">
        <f t="shared" si="12"/>
        <v>Ivory Cost</v>
      </c>
      <c r="N20" s="9" t="str">
        <f t="shared" si="20"/>
        <v>dog win</v>
      </c>
      <c r="P20" s="14" t="str">
        <f t="shared" si="0"/>
        <v>Ivory Cost</v>
      </c>
      <c r="Q20" s="14" t="str">
        <f t="shared" si="1"/>
        <v>Ecuador</v>
      </c>
      <c r="S20" s="14">
        <f t="shared" si="2"/>
        <v>1</v>
      </c>
      <c r="T20" s="15">
        <f t="shared" si="3"/>
        <v>0.27</v>
      </c>
      <c r="U20" s="15">
        <f t="shared" si="4"/>
        <v>3.7037037037037033</v>
      </c>
      <c r="W20" s="9">
        <f t="shared" si="13"/>
        <v>0</v>
      </c>
      <c r="X20" s="15">
        <f t="shared" si="5"/>
        <v>0.4</v>
      </c>
      <c r="Y20" s="15">
        <f t="shared" si="6"/>
        <v>0</v>
      </c>
      <c r="AA20" s="14">
        <f t="shared" si="14"/>
        <v>0</v>
      </c>
      <c r="AB20" s="15">
        <f t="shared" si="15"/>
        <v>0.34</v>
      </c>
      <c r="AC20" s="15">
        <f t="shared" si="16"/>
        <v>0</v>
      </c>
      <c r="AE20" s="14">
        <f t="shared" si="7"/>
        <v>1</v>
      </c>
      <c r="AF20" s="15">
        <f t="shared" si="17"/>
        <v>0.6</v>
      </c>
      <c r="AG20" s="15">
        <f t="shared" si="18"/>
        <v>1.6666666666666667</v>
      </c>
      <c r="AJ20" s="14">
        <f t="shared" si="21"/>
        <v>0</v>
      </c>
      <c r="AK20" s="15">
        <f t="shared" si="19"/>
        <v>0.73</v>
      </c>
      <c r="AL20" s="15">
        <f t="shared" si="11"/>
        <v>0</v>
      </c>
    </row>
    <row r="21" spans="2:38" s="9" customFormat="1" x14ac:dyDescent="0.25">
      <c r="B21" s="8">
        <v>46187</v>
      </c>
      <c r="C21" s="9" t="s">
        <v>29</v>
      </c>
      <c r="D21" s="9" t="s">
        <v>30</v>
      </c>
      <c r="E21" s="10">
        <v>0.52</v>
      </c>
      <c r="F21" s="10">
        <v>0.28000000000000003</v>
      </c>
      <c r="G21" s="10">
        <v>0.22</v>
      </c>
      <c r="H21" s="10"/>
      <c r="I21" s="11"/>
      <c r="K21" s="12">
        <v>5</v>
      </c>
      <c r="L21" s="12">
        <v>1</v>
      </c>
      <c r="M21" s="9" t="str">
        <f t="shared" si="12"/>
        <v>Sweden</v>
      </c>
      <c r="N21" s="9" t="str">
        <f t="shared" si="20"/>
        <v>fav win</v>
      </c>
      <c r="P21" s="9" t="str">
        <f t="shared" si="0"/>
        <v>Tunisia</v>
      </c>
      <c r="Q21" s="9" t="str">
        <f t="shared" si="1"/>
        <v>Sweden</v>
      </c>
      <c r="S21" s="9">
        <f t="shared" si="2"/>
        <v>0</v>
      </c>
      <c r="T21" s="10">
        <f t="shared" si="3"/>
        <v>0.22</v>
      </c>
      <c r="U21" s="10">
        <f t="shared" si="4"/>
        <v>0</v>
      </c>
      <c r="W21" s="9">
        <f t="shared" si="13"/>
        <v>1</v>
      </c>
      <c r="X21" s="10">
        <f t="shared" si="5"/>
        <v>0.52</v>
      </c>
      <c r="Y21" s="10">
        <f t="shared" si="6"/>
        <v>1.9230769230769229</v>
      </c>
      <c r="AA21" s="9">
        <f t="shared" si="14"/>
        <v>0</v>
      </c>
      <c r="AB21" s="10">
        <f t="shared" si="15"/>
        <v>0.28000000000000003</v>
      </c>
      <c r="AC21" s="10">
        <f t="shared" si="16"/>
        <v>0</v>
      </c>
      <c r="AE21" s="9">
        <f t="shared" si="7"/>
        <v>0</v>
      </c>
      <c r="AF21" s="10">
        <f t="shared" si="17"/>
        <v>0.48</v>
      </c>
      <c r="AG21" s="10">
        <f t="shared" si="18"/>
        <v>0</v>
      </c>
      <c r="AJ21" s="9">
        <f t="shared" si="21"/>
        <v>1</v>
      </c>
      <c r="AK21" s="10">
        <f t="shared" si="19"/>
        <v>0.78</v>
      </c>
      <c r="AL21" s="10">
        <f t="shared" si="11"/>
        <v>1.2820512820512819</v>
      </c>
    </row>
    <row r="22" spans="2:38" s="9" customFormat="1" x14ac:dyDescent="0.25">
      <c r="B22" s="8">
        <v>46188</v>
      </c>
      <c r="C22" s="9" t="s">
        <v>43</v>
      </c>
      <c r="D22" s="9" t="s">
        <v>40</v>
      </c>
      <c r="E22" s="10">
        <v>0.90500000000000003</v>
      </c>
      <c r="F22" s="10">
        <v>6.9000000000000006E-2</v>
      </c>
      <c r="G22" s="10">
        <v>3.4000000000000002E-2</v>
      </c>
      <c r="H22" s="10"/>
      <c r="I22" s="11"/>
      <c r="K22" s="12">
        <v>0</v>
      </c>
      <c r="L22" s="12">
        <v>0</v>
      </c>
      <c r="M22" s="9" t="str">
        <f t="shared" si="12"/>
        <v>draw</v>
      </c>
      <c r="N22" s="9" t="str">
        <f t="shared" si="20"/>
        <v>draw</v>
      </c>
      <c r="P22" s="9" t="str">
        <f t="shared" si="0"/>
        <v>Cabo Verde</v>
      </c>
      <c r="Q22" s="9" t="str">
        <f t="shared" si="1"/>
        <v>Spain</v>
      </c>
      <c r="S22" s="9">
        <f t="shared" si="2"/>
        <v>0</v>
      </c>
      <c r="T22" s="10">
        <f t="shared" si="3"/>
        <v>3.4000000000000002E-2</v>
      </c>
      <c r="U22" s="10">
        <f t="shared" si="4"/>
        <v>0</v>
      </c>
      <c r="W22" s="9">
        <f t="shared" si="13"/>
        <v>0</v>
      </c>
      <c r="X22" s="10">
        <f t="shared" si="5"/>
        <v>0.90500000000000003</v>
      </c>
      <c r="Y22" s="10">
        <f t="shared" si="6"/>
        <v>0</v>
      </c>
      <c r="AA22" s="9">
        <f t="shared" si="14"/>
        <v>1</v>
      </c>
      <c r="AB22" s="10">
        <f t="shared" si="15"/>
        <v>6.9000000000000006E-2</v>
      </c>
      <c r="AC22" s="10">
        <f t="shared" si="16"/>
        <v>14.492753623188404</v>
      </c>
      <c r="AE22" s="9">
        <f t="shared" si="7"/>
        <v>1</v>
      </c>
      <c r="AF22" s="10">
        <f t="shared" si="17"/>
        <v>9.4999999999999973E-2</v>
      </c>
      <c r="AG22" s="10">
        <f t="shared" si="18"/>
        <v>10.526315789473687</v>
      </c>
      <c r="AJ22" s="9">
        <f t="shared" si="21"/>
        <v>0</v>
      </c>
      <c r="AK22" s="10">
        <f t="shared" si="19"/>
        <v>0.96599999999999997</v>
      </c>
      <c r="AL22" s="10">
        <f t="shared" si="11"/>
        <v>0</v>
      </c>
    </row>
    <row r="23" spans="2:38" s="9" customFormat="1" x14ac:dyDescent="0.25">
      <c r="B23" s="8">
        <v>46188</v>
      </c>
      <c r="C23" s="9" t="s">
        <v>47</v>
      </c>
      <c r="D23" s="9" t="s">
        <v>44</v>
      </c>
      <c r="E23" s="10">
        <v>0.65500000000000003</v>
      </c>
      <c r="F23" s="10">
        <v>0.22500000000000001</v>
      </c>
      <c r="G23" s="10">
        <v>0.125</v>
      </c>
      <c r="H23" s="10"/>
      <c r="I23" s="11"/>
      <c r="K23" s="12">
        <v>1</v>
      </c>
      <c r="L23" s="12">
        <v>1</v>
      </c>
      <c r="M23" s="9" t="str">
        <f t="shared" si="12"/>
        <v>draw</v>
      </c>
      <c r="N23" s="9" t="str">
        <f t="shared" si="20"/>
        <v>draw</v>
      </c>
      <c r="P23" s="9" t="str">
        <f t="shared" si="0"/>
        <v>Egypt</v>
      </c>
      <c r="Q23" s="9" t="str">
        <f t="shared" si="1"/>
        <v>Belgium</v>
      </c>
      <c r="S23" s="9">
        <f t="shared" si="2"/>
        <v>0</v>
      </c>
      <c r="T23" s="10">
        <f t="shared" si="3"/>
        <v>0.125</v>
      </c>
      <c r="U23" s="10">
        <f t="shared" si="4"/>
        <v>0</v>
      </c>
      <c r="W23" s="9">
        <f t="shared" si="13"/>
        <v>0</v>
      </c>
      <c r="X23" s="10">
        <f t="shared" si="5"/>
        <v>0.65500000000000003</v>
      </c>
      <c r="Y23" s="10">
        <f t="shared" si="6"/>
        <v>0</v>
      </c>
      <c r="AA23" s="9">
        <f t="shared" si="14"/>
        <v>1</v>
      </c>
      <c r="AB23" s="10">
        <f t="shared" si="15"/>
        <v>0.22500000000000001</v>
      </c>
      <c r="AC23" s="10">
        <f t="shared" si="16"/>
        <v>4.4444444444444446</v>
      </c>
      <c r="AE23" s="9">
        <f t="shared" si="7"/>
        <v>1</v>
      </c>
      <c r="AF23" s="10">
        <f t="shared" si="17"/>
        <v>0.34499999999999997</v>
      </c>
      <c r="AG23" s="10">
        <f t="shared" si="18"/>
        <v>2.8985507246376816</v>
      </c>
      <c r="AJ23" s="9">
        <f t="shared" si="21"/>
        <v>0</v>
      </c>
      <c r="AK23" s="10">
        <f t="shared" si="19"/>
        <v>0.875</v>
      </c>
      <c r="AL23" s="10">
        <f t="shared" si="11"/>
        <v>0</v>
      </c>
    </row>
    <row r="24" spans="2:38" s="9" customFormat="1" x14ac:dyDescent="0.25">
      <c r="B24" s="8">
        <v>46188</v>
      </c>
      <c r="C24" s="9" t="s">
        <v>41</v>
      </c>
      <c r="D24" s="9" t="s">
        <v>42</v>
      </c>
      <c r="E24" s="10">
        <v>0.125</v>
      </c>
      <c r="F24" s="10">
        <v>0.245</v>
      </c>
      <c r="G24" s="10">
        <v>0.63500000000000001</v>
      </c>
      <c r="H24" s="10"/>
      <c r="I24" s="11"/>
      <c r="K24" s="12">
        <v>1</v>
      </c>
      <c r="L24" s="12">
        <v>1</v>
      </c>
      <c r="M24" s="9" t="str">
        <f t="shared" si="12"/>
        <v>draw</v>
      </c>
      <c r="N24" s="9" t="str">
        <f t="shared" si="20"/>
        <v>draw</v>
      </c>
      <c r="P24" s="9" t="str">
        <f t="shared" si="0"/>
        <v>Saudi Arabia</v>
      </c>
      <c r="Q24" s="9" t="str">
        <f t="shared" si="1"/>
        <v>Uruguay</v>
      </c>
      <c r="S24" s="9">
        <f t="shared" si="2"/>
        <v>0</v>
      </c>
      <c r="T24" s="10">
        <f t="shared" si="3"/>
        <v>0.125</v>
      </c>
      <c r="U24" s="10">
        <f t="shared" si="4"/>
        <v>0</v>
      </c>
      <c r="W24" s="9">
        <f t="shared" si="13"/>
        <v>0</v>
      </c>
      <c r="X24" s="10">
        <f t="shared" si="5"/>
        <v>0.63500000000000001</v>
      </c>
      <c r="Y24" s="10">
        <f t="shared" si="6"/>
        <v>0</v>
      </c>
      <c r="AA24" s="9">
        <f t="shared" si="14"/>
        <v>1</v>
      </c>
      <c r="AB24" s="10">
        <f t="shared" si="15"/>
        <v>0.245</v>
      </c>
      <c r="AC24" s="10">
        <f t="shared" si="16"/>
        <v>4.0816326530612246</v>
      </c>
      <c r="AE24" s="9">
        <f t="shared" si="7"/>
        <v>1</v>
      </c>
      <c r="AF24" s="10">
        <f t="shared" si="17"/>
        <v>0.36499999999999999</v>
      </c>
      <c r="AG24" s="10">
        <f t="shared" si="18"/>
        <v>2.7397260273972601</v>
      </c>
      <c r="AJ24" s="9">
        <f t="shared" si="21"/>
        <v>0</v>
      </c>
      <c r="AK24" s="10">
        <f t="shared" si="19"/>
        <v>0.875</v>
      </c>
      <c r="AL24" s="10">
        <f t="shared" si="11"/>
        <v>0</v>
      </c>
    </row>
    <row r="25" spans="2:38" s="9" customFormat="1" x14ac:dyDescent="0.25">
      <c r="B25" s="8">
        <v>46188</v>
      </c>
      <c r="C25" s="9" t="s">
        <v>45</v>
      </c>
      <c r="D25" s="9" t="s">
        <v>46</v>
      </c>
      <c r="E25" s="10">
        <v>0.52500000000000002</v>
      </c>
      <c r="F25" s="10">
        <v>0.28499999999999998</v>
      </c>
      <c r="G25" s="10">
        <v>0.21</v>
      </c>
      <c r="H25" s="10"/>
      <c r="I25" s="11"/>
      <c r="K25" s="12">
        <v>2</v>
      </c>
      <c r="L25" s="12">
        <v>2</v>
      </c>
      <c r="M25" s="9" t="str">
        <f t="shared" si="12"/>
        <v>draw</v>
      </c>
      <c r="N25" s="9" t="str">
        <f t="shared" si="20"/>
        <v>draw</v>
      </c>
      <c r="P25" s="9" t="str">
        <f t="shared" si="0"/>
        <v>New Zeland</v>
      </c>
      <c r="Q25" s="9" t="str">
        <f t="shared" si="1"/>
        <v>Iran</v>
      </c>
      <c r="S25" s="9">
        <f t="shared" si="2"/>
        <v>0</v>
      </c>
      <c r="T25" s="10">
        <f t="shared" si="3"/>
        <v>0.21</v>
      </c>
      <c r="U25" s="10">
        <f t="shared" si="4"/>
        <v>0</v>
      </c>
      <c r="W25" s="9">
        <f t="shared" si="13"/>
        <v>0</v>
      </c>
      <c r="X25" s="10">
        <f t="shared" si="5"/>
        <v>0.52500000000000002</v>
      </c>
      <c r="Y25" s="10">
        <f t="shared" si="6"/>
        <v>0</v>
      </c>
      <c r="AA25" s="9">
        <f t="shared" si="14"/>
        <v>1</v>
      </c>
      <c r="AB25" s="10">
        <f t="shared" si="15"/>
        <v>0.28499999999999998</v>
      </c>
      <c r="AC25" s="10">
        <f t="shared" si="16"/>
        <v>3.5087719298245617</v>
      </c>
      <c r="AE25" s="9">
        <f t="shared" si="7"/>
        <v>1</v>
      </c>
      <c r="AF25" s="10">
        <f t="shared" si="17"/>
        <v>0.47499999999999998</v>
      </c>
      <c r="AG25" s="10">
        <f t="shared" si="18"/>
        <v>2.1052631578947367</v>
      </c>
      <c r="AJ25" s="9">
        <f t="shared" si="21"/>
        <v>0</v>
      </c>
      <c r="AK25" s="10">
        <f t="shared" si="19"/>
        <v>0.79</v>
      </c>
      <c r="AL25" s="10">
        <f t="shared" si="11"/>
        <v>0</v>
      </c>
    </row>
    <row r="26" spans="2:38" s="9" customFormat="1" x14ac:dyDescent="0.25">
      <c r="B26" s="8">
        <v>46189</v>
      </c>
      <c r="C26" s="9" t="s">
        <v>37</v>
      </c>
      <c r="D26" s="9" t="s">
        <v>38</v>
      </c>
      <c r="E26" s="10">
        <v>0.65500000000000003</v>
      </c>
      <c r="F26" s="10">
        <v>0.215</v>
      </c>
      <c r="G26" s="10">
        <v>0.13500000000000001</v>
      </c>
      <c r="H26" s="10"/>
      <c r="I26" s="11"/>
      <c r="K26" s="12">
        <v>3</v>
      </c>
      <c r="L26" s="12">
        <v>1</v>
      </c>
      <c r="M26" s="9" t="str">
        <f t="shared" si="12"/>
        <v>France</v>
      </c>
      <c r="N26" s="9" t="str">
        <f t="shared" si="20"/>
        <v>fav win</v>
      </c>
      <c r="P26" s="9" t="str">
        <f t="shared" si="0"/>
        <v>Senegal</v>
      </c>
      <c r="Q26" s="9" t="str">
        <f t="shared" si="1"/>
        <v>France</v>
      </c>
      <c r="S26" s="9">
        <f t="shared" si="2"/>
        <v>0</v>
      </c>
      <c r="T26" s="10">
        <f t="shared" si="3"/>
        <v>0.13500000000000001</v>
      </c>
      <c r="U26" s="10">
        <f t="shared" si="4"/>
        <v>0</v>
      </c>
      <c r="W26" s="9">
        <f t="shared" si="13"/>
        <v>1</v>
      </c>
      <c r="X26" s="10">
        <f t="shared" si="5"/>
        <v>0.65500000000000003</v>
      </c>
      <c r="Y26" s="10">
        <f t="shared" si="6"/>
        <v>1.5267175572519083</v>
      </c>
      <c r="AA26" s="9">
        <f t="shared" si="14"/>
        <v>0</v>
      </c>
      <c r="AB26" s="10">
        <f t="shared" si="15"/>
        <v>0.215</v>
      </c>
      <c r="AC26" s="10">
        <f t="shared" si="16"/>
        <v>0</v>
      </c>
      <c r="AE26" s="9">
        <f t="shared" si="7"/>
        <v>0</v>
      </c>
      <c r="AF26" s="10">
        <f t="shared" si="17"/>
        <v>0.34499999999999997</v>
      </c>
      <c r="AG26" s="10">
        <f t="shared" si="18"/>
        <v>0</v>
      </c>
      <c r="AJ26" s="9">
        <f t="shared" si="21"/>
        <v>1</v>
      </c>
      <c r="AK26" s="10">
        <f t="shared" si="19"/>
        <v>0.86499999999999999</v>
      </c>
      <c r="AL26" s="10">
        <f t="shared" si="11"/>
        <v>1.1560693641618498</v>
      </c>
    </row>
    <row r="27" spans="2:38" s="9" customFormat="1" x14ac:dyDescent="0.25">
      <c r="B27" s="8">
        <v>46189</v>
      </c>
      <c r="C27" s="9" t="s">
        <v>39</v>
      </c>
      <c r="D27" s="9" t="s">
        <v>36</v>
      </c>
      <c r="E27" s="10">
        <v>1.9E-2</v>
      </c>
      <c r="F27" s="10">
        <v>6.5000000000000002E-2</v>
      </c>
      <c r="G27" s="10">
        <v>0.91500000000000004</v>
      </c>
      <c r="H27" s="10"/>
      <c r="I27" s="11"/>
      <c r="K27" s="12">
        <v>1</v>
      </c>
      <c r="L27" s="12">
        <v>4</v>
      </c>
      <c r="M27" s="9" t="str">
        <f t="shared" si="12"/>
        <v>Norway</v>
      </c>
      <c r="N27" s="9" t="str">
        <f t="shared" si="20"/>
        <v>fav win</v>
      </c>
      <c r="P27" s="9" t="str">
        <f t="shared" si="0"/>
        <v>Iraq</v>
      </c>
      <c r="Q27" s="9" t="str">
        <f t="shared" si="1"/>
        <v>Norway</v>
      </c>
      <c r="S27" s="9">
        <f t="shared" si="2"/>
        <v>0</v>
      </c>
      <c r="T27" s="10">
        <f t="shared" si="3"/>
        <v>1.9E-2</v>
      </c>
      <c r="U27" s="10">
        <f t="shared" si="4"/>
        <v>0</v>
      </c>
      <c r="W27" s="9">
        <f t="shared" si="13"/>
        <v>1</v>
      </c>
      <c r="X27" s="10">
        <f t="shared" si="5"/>
        <v>0.91500000000000004</v>
      </c>
      <c r="Y27" s="10">
        <f t="shared" si="6"/>
        <v>1.0928961748633879</v>
      </c>
      <c r="AA27" s="9">
        <f t="shared" si="14"/>
        <v>0</v>
      </c>
      <c r="AB27" s="10">
        <f t="shared" si="15"/>
        <v>6.5000000000000002E-2</v>
      </c>
      <c r="AC27" s="10">
        <f t="shared" si="16"/>
        <v>0</v>
      </c>
      <c r="AE27" s="9">
        <f t="shared" si="7"/>
        <v>0</v>
      </c>
      <c r="AF27" s="10">
        <f t="shared" si="17"/>
        <v>8.4999999999999964E-2</v>
      </c>
      <c r="AG27" s="10">
        <f t="shared" si="18"/>
        <v>0</v>
      </c>
      <c r="AJ27" s="9">
        <f t="shared" si="21"/>
        <v>1</v>
      </c>
      <c r="AK27" s="10">
        <f t="shared" si="19"/>
        <v>0.98099999999999998</v>
      </c>
      <c r="AL27" s="10">
        <f t="shared" si="11"/>
        <v>1.019367991845056</v>
      </c>
    </row>
    <row r="28" spans="2:38" s="9" customFormat="1" x14ac:dyDescent="0.25">
      <c r="B28" s="8">
        <v>46189</v>
      </c>
      <c r="C28" s="9" t="s">
        <v>58</v>
      </c>
      <c r="D28" s="9" t="s">
        <v>55</v>
      </c>
      <c r="E28" s="10">
        <v>0.63500000000000001</v>
      </c>
      <c r="F28" s="10">
        <v>0.23499999999999999</v>
      </c>
      <c r="G28" s="10">
        <v>0.125</v>
      </c>
      <c r="H28" s="10"/>
      <c r="I28" s="11"/>
      <c r="K28" s="12">
        <v>3</v>
      </c>
      <c r="L28" s="12">
        <v>0</v>
      </c>
      <c r="M28" s="9" t="str">
        <f t="shared" si="12"/>
        <v>Argentina</v>
      </c>
      <c r="N28" s="9" t="str">
        <f t="shared" si="20"/>
        <v>fav win</v>
      </c>
      <c r="P28" s="9" t="str">
        <f t="shared" si="0"/>
        <v>Algeria</v>
      </c>
      <c r="Q28" s="9" t="str">
        <f t="shared" si="1"/>
        <v>Argentina</v>
      </c>
      <c r="S28" s="9">
        <f t="shared" si="2"/>
        <v>0</v>
      </c>
      <c r="T28" s="10">
        <f t="shared" si="3"/>
        <v>0.125</v>
      </c>
      <c r="U28" s="10">
        <f t="shared" si="4"/>
        <v>0</v>
      </c>
      <c r="W28" s="9">
        <f t="shared" si="13"/>
        <v>1</v>
      </c>
      <c r="X28" s="10">
        <f t="shared" si="5"/>
        <v>0.63500000000000001</v>
      </c>
      <c r="Y28" s="10">
        <f t="shared" si="6"/>
        <v>1.5748031496062991</v>
      </c>
      <c r="AA28" s="9">
        <f t="shared" si="14"/>
        <v>0</v>
      </c>
      <c r="AB28" s="10">
        <f t="shared" si="15"/>
        <v>0.23499999999999999</v>
      </c>
      <c r="AC28" s="10">
        <f t="shared" si="16"/>
        <v>0</v>
      </c>
      <c r="AE28" s="9">
        <f t="shared" si="7"/>
        <v>0</v>
      </c>
      <c r="AF28" s="10">
        <f t="shared" si="17"/>
        <v>0.36499999999999999</v>
      </c>
      <c r="AG28" s="10">
        <f t="shared" si="18"/>
        <v>0</v>
      </c>
      <c r="AJ28" s="9">
        <f t="shared" si="21"/>
        <v>1</v>
      </c>
      <c r="AK28" s="10">
        <f t="shared" si="19"/>
        <v>0.875</v>
      </c>
      <c r="AL28" s="10">
        <f t="shared" si="11"/>
        <v>1.1428571428571428</v>
      </c>
    </row>
    <row r="29" spans="2:38" s="9" customFormat="1" x14ac:dyDescent="0.25">
      <c r="B29" s="8">
        <v>46189</v>
      </c>
      <c r="C29" s="9" t="s">
        <v>56</v>
      </c>
      <c r="D29" s="9" t="s">
        <v>57</v>
      </c>
      <c r="E29" s="10">
        <v>0.69499999999999995</v>
      </c>
      <c r="F29" s="10">
        <v>0.20499999999999999</v>
      </c>
      <c r="G29" s="10">
        <v>0.105</v>
      </c>
      <c r="H29" s="10"/>
      <c r="I29" s="11"/>
      <c r="K29" s="12">
        <v>3</v>
      </c>
      <c r="L29" s="12">
        <v>1</v>
      </c>
      <c r="M29" s="9" t="str">
        <f t="shared" si="12"/>
        <v>Austria</v>
      </c>
      <c r="N29" s="9" t="str">
        <f t="shared" si="20"/>
        <v>fav win</v>
      </c>
      <c r="P29" s="9" t="str">
        <f t="shared" si="0"/>
        <v>Jordan</v>
      </c>
      <c r="Q29" s="9" t="str">
        <f t="shared" si="1"/>
        <v>Austria</v>
      </c>
      <c r="S29" s="9">
        <f t="shared" si="2"/>
        <v>0</v>
      </c>
      <c r="T29" s="10">
        <f t="shared" si="3"/>
        <v>0.105</v>
      </c>
      <c r="U29" s="10">
        <f t="shared" si="4"/>
        <v>0</v>
      </c>
      <c r="W29" s="9">
        <f t="shared" si="13"/>
        <v>1</v>
      </c>
      <c r="X29" s="10">
        <f t="shared" si="5"/>
        <v>0.69499999999999995</v>
      </c>
      <c r="Y29" s="10">
        <f t="shared" si="6"/>
        <v>1.4388489208633095</v>
      </c>
      <c r="AA29" s="9">
        <f t="shared" si="14"/>
        <v>0</v>
      </c>
      <c r="AB29" s="10">
        <f t="shared" si="15"/>
        <v>0.20499999999999999</v>
      </c>
      <c r="AC29" s="10">
        <f t="shared" si="16"/>
        <v>0</v>
      </c>
      <c r="AE29" s="9">
        <f t="shared" si="7"/>
        <v>0</v>
      </c>
      <c r="AF29" s="10">
        <f t="shared" si="17"/>
        <v>0.30500000000000005</v>
      </c>
      <c r="AG29" s="10">
        <f t="shared" si="18"/>
        <v>0</v>
      </c>
      <c r="AJ29" s="9">
        <f t="shared" si="21"/>
        <v>1</v>
      </c>
      <c r="AK29" s="10">
        <f t="shared" si="19"/>
        <v>0.89500000000000002</v>
      </c>
      <c r="AL29" s="10">
        <f t="shared" si="11"/>
        <v>1.1173184357541899</v>
      </c>
    </row>
    <row r="30" spans="2:38" s="9" customFormat="1" x14ac:dyDescent="0.25">
      <c r="B30" s="8">
        <v>46190</v>
      </c>
      <c r="C30" s="9" t="s">
        <v>61</v>
      </c>
      <c r="D30" s="9" t="s">
        <v>62</v>
      </c>
      <c r="E30" s="10">
        <v>0.76500000000000001</v>
      </c>
      <c r="F30" s="10">
        <v>0.16500000000000001</v>
      </c>
      <c r="G30" s="10">
        <v>7.4999999999999997E-2</v>
      </c>
      <c r="H30" s="10"/>
      <c r="I30" s="11"/>
      <c r="K30" s="12">
        <v>1</v>
      </c>
      <c r="L30" s="12">
        <v>1</v>
      </c>
      <c r="M30" s="9" t="str">
        <f t="shared" si="12"/>
        <v>draw</v>
      </c>
      <c r="N30" s="9" t="str">
        <f t="shared" si="20"/>
        <v>draw</v>
      </c>
      <c r="P30" s="9" t="str">
        <f t="shared" si="0"/>
        <v>DRC</v>
      </c>
      <c r="Q30" s="9" t="str">
        <f t="shared" si="1"/>
        <v>Portugalia</v>
      </c>
      <c r="S30" s="9">
        <f t="shared" si="2"/>
        <v>0</v>
      </c>
      <c r="T30" s="10">
        <f t="shared" si="3"/>
        <v>7.4999999999999997E-2</v>
      </c>
      <c r="U30" s="10">
        <f t="shared" si="4"/>
        <v>0</v>
      </c>
      <c r="W30" s="9">
        <f t="shared" si="13"/>
        <v>0</v>
      </c>
      <c r="X30" s="10">
        <f t="shared" si="5"/>
        <v>0.76500000000000001</v>
      </c>
      <c r="Y30" s="10">
        <f t="shared" si="6"/>
        <v>0</v>
      </c>
      <c r="AA30" s="9">
        <f t="shared" si="14"/>
        <v>1</v>
      </c>
      <c r="AB30" s="10">
        <f t="shared" si="15"/>
        <v>0.16500000000000001</v>
      </c>
      <c r="AC30" s="10">
        <f t="shared" si="16"/>
        <v>6.0606060606060606</v>
      </c>
      <c r="AE30" s="9">
        <f t="shared" si="7"/>
        <v>1</v>
      </c>
      <c r="AF30" s="10">
        <f t="shared" si="17"/>
        <v>0.23499999999999999</v>
      </c>
      <c r="AG30" s="10">
        <f t="shared" si="18"/>
        <v>4.2553191489361701</v>
      </c>
      <c r="AJ30" s="9">
        <f t="shared" si="21"/>
        <v>0</v>
      </c>
      <c r="AK30" s="10">
        <f t="shared" si="19"/>
        <v>0.92500000000000004</v>
      </c>
      <c r="AL30" s="10">
        <f t="shared" si="11"/>
        <v>0</v>
      </c>
    </row>
    <row r="31" spans="2:38" s="9" customFormat="1" x14ac:dyDescent="0.25">
      <c r="B31" s="8">
        <v>46190</v>
      </c>
      <c r="C31" s="9" t="s">
        <v>51</v>
      </c>
      <c r="D31" s="9" t="s">
        <v>48</v>
      </c>
      <c r="E31" s="10">
        <v>0.58499999999999996</v>
      </c>
      <c r="F31" s="10">
        <v>0.255</v>
      </c>
      <c r="G31" s="10">
        <v>0.17499999999999999</v>
      </c>
      <c r="H31" s="10"/>
      <c r="I31" s="11"/>
      <c r="K31" s="12">
        <v>4</v>
      </c>
      <c r="L31" s="12">
        <v>2</v>
      </c>
      <c r="M31" s="9" t="str">
        <f t="shared" si="12"/>
        <v>England</v>
      </c>
      <c r="N31" s="9" t="str">
        <f t="shared" si="20"/>
        <v>fav win</v>
      </c>
      <c r="P31" s="9" t="str">
        <f t="shared" si="0"/>
        <v>Croatia</v>
      </c>
      <c r="Q31" s="9" t="str">
        <f t="shared" si="1"/>
        <v>England</v>
      </c>
      <c r="S31" s="9">
        <f t="shared" si="2"/>
        <v>0</v>
      </c>
      <c r="T31" s="10">
        <f t="shared" si="3"/>
        <v>0.17499999999999999</v>
      </c>
      <c r="U31" s="10">
        <f t="shared" si="4"/>
        <v>0</v>
      </c>
      <c r="W31" s="9">
        <f t="shared" si="13"/>
        <v>1</v>
      </c>
      <c r="X31" s="10">
        <f t="shared" si="5"/>
        <v>0.58499999999999996</v>
      </c>
      <c r="Y31" s="10">
        <f t="shared" si="6"/>
        <v>1.7094017094017095</v>
      </c>
      <c r="AA31" s="9">
        <f t="shared" si="14"/>
        <v>0</v>
      </c>
      <c r="AB31" s="10">
        <f t="shared" si="15"/>
        <v>0.255</v>
      </c>
      <c r="AC31" s="10">
        <f t="shared" si="16"/>
        <v>0</v>
      </c>
      <c r="AE31" s="9">
        <f t="shared" si="7"/>
        <v>0</v>
      </c>
      <c r="AF31" s="10">
        <f t="shared" si="17"/>
        <v>0.41500000000000004</v>
      </c>
      <c r="AG31" s="10">
        <f t="shared" si="18"/>
        <v>0</v>
      </c>
      <c r="AJ31" s="9">
        <f t="shared" si="21"/>
        <v>1</v>
      </c>
      <c r="AK31" s="10">
        <f t="shared" si="19"/>
        <v>0.82499999999999996</v>
      </c>
      <c r="AL31" s="10">
        <f t="shared" si="11"/>
        <v>1.2121212121212122</v>
      </c>
    </row>
    <row r="32" spans="2:38" s="9" customFormat="1" x14ac:dyDescent="0.25">
      <c r="B32" s="8">
        <v>46190</v>
      </c>
      <c r="C32" s="9" t="s">
        <v>49</v>
      </c>
      <c r="D32" s="9" t="s">
        <v>50</v>
      </c>
      <c r="E32" s="10">
        <v>0.29499999999999998</v>
      </c>
      <c r="F32" s="10">
        <v>0.375</v>
      </c>
      <c r="G32" s="10">
        <v>0.32500000000000001</v>
      </c>
      <c r="H32" s="10"/>
      <c r="I32" s="11"/>
      <c r="K32" s="12">
        <v>1</v>
      </c>
      <c r="L32" s="12">
        <v>0</v>
      </c>
      <c r="M32" s="9" t="str">
        <f t="shared" si="12"/>
        <v>Ghana</v>
      </c>
      <c r="N32" s="9" t="str">
        <f t="shared" si="20"/>
        <v>dog win</v>
      </c>
      <c r="P32" s="9" t="str">
        <f t="shared" si="0"/>
        <v>Ghana</v>
      </c>
      <c r="Q32" s="9" t="str">
        <f t="shared" si="1"/>
        <v>Panama</v>
      </c>
      <c r="S32" s="9">
        <f t="shared" si="2"/>
        <v>1</v>
      </c>
      <c r="T32" s="10">
        <f t="shared" si="3"/>
        <v>0.29499999999999998</v>
      </c>
      <c r="U32" s="10">
        <f t="shared" si="4"/>
        <v>3.3898305084745766</v>
      </c>
      <c r="W32" s="9">
        <f t="shared" si="13"/>
        <v>0</v>
      </c>
      <c r="X32" s="10">
        <f t="shared" si="5"/>
        <v>0.32500000000000001</v>
      </c>
      <c r="Y32" s="10">
        <f t="shared" si="6"/>
        <v>0</v>
      </c>
      <c r="AA32" s="9">
        <f t="shared" si="14"/>
        <v>0</v>
      </c>
      <c r="AB32" s="10">
        <f t="shared" si="15"/>
        <v>0.375</v>
      </c>
      <c r="AC32" s="10">
        <f t="shared" si="16"/>
        <v>0</v>
      </c>
      <c r="AE32" s="9">
        <f t="shared" si="7"/>
        <v>1</v>
      </c>
      <c r="AF32" s="10">
        <f t="shared" si="17"/>
        <v>0.67500000000000004</v>
      </c>
      <c r="AG32" s="10">
        <f t="shared" si="18"/>
        <v>1.4814814814814814</v>
      </c>
      <c r="AJ32" s="9">
        <f t="shared" si="21"/>
        <v>0</v>
      </c>
      <c r="AK32" s="10">
        <f t="shared" si="19"/>
        <v>0.70500000000000007</v>
      </c>
      <c r="AL32" s="10">
        <f t="shared" si="11"/>
        <v>0</v>
      </c>
    </row>
    <row r="33" spans="2:38" s="9" customFormat="1" x14ac:dyDescent="0.25">
      <c r="B33" s="8">
        <v>46190</v>
      </c>
      <c r="C33" s="9" t="s">
        <v>54</v>
      </c>
      <c r="D33" s="9" t="s">
        <v>52</v>
      </c>
      <c r="E33" s="10">
        <v>7.4999999999999997E-2</v>
      </c>
      <c r="F33" s="10">
        <v>0.17499999999999999</v>
      </c>
      <c r="G33" s="10">
        <v>0.755</v>
      </c>
      <c r="H33" s="10"/>
      <c r="I33" s="11"/>
      <c r="K33" s="12">
        <v>1</v>
      </c>
      <c r="L33" s="12">
        <v>3</v>
      </c>
      <c r="M33" s="9" t="str">
        <f t="shared" si="12"/>
        <v>Colombia</v>
      </c>
      <c r="N33" s="9" t="str">
        <f t="shared" si="20"/>
        <v>fav win</v>
      </c>
      <c r="P33" s="9" t="str">
        <f t="shared" si="0"/>
        <v>Uzbekistan</v>
      </c>
      <c r="Q33" s="9" t="str">
        <f t="shared" si="1"/>
        <v>Colombia</v>
      </c>
      <c r="S33" s="9">
        <f t="shared" si="2"/>
        <v>0</v>
      </c>
      <c r="T33" s="10">
        <f t="shared" si="3"/>
        <v>7.4999999999999997E-2</v>
      </c>
      <c r="U33" s="10">
        <f t="shared" si="4"/>
        <v>0</v>
      </c>
      <c r="W33" s="9">
        <f t="shared" si="13"/>
        <v>1</v>
      </c>
      <c r="X33" s="10">
        <f t="shared" si="5"/>
        <v>0.755</v>
      </c>
      <c r="Y33" s="10">
        <f t="shared" si="6"/>
        <v>1.3245033112582782</v>
      </c>
      <c r="AA33" s="9">
        <f t="shared" si="14"/>
        <v>0</v>
      </c>
      <c r="AB33" s="10">
        <f t="shared" si="15"/>
        <v>0.17499999999999999</v>
      </c>
      <c r="AC33" s="10">
        <f t="shared" si="16"/>
        <v>0</v>
      </c>
      <c r="AE33" s="9">
        <f t="shared" si="7"/>
        <v>0</v>
      </c>
      <c r="AF33" s="10">
        <f t="shared" si="17"/>
        <v>0.245</v>
      </c>
      <c r="AG33" s="10">
        <f t="shared" si="18"/>
        <v>0</v>
      </c>
      <c r="AJ33" s="9">
        <f t="shared" si="21"/>
        <v>1</v>
      </c>
      <c r="AK33" s="10">
        <f t="shared" si="19"/>
        <v>0.92500000000000004</v>
      </c>
      <c r="AL33" s="10">
        <f t="shared" si="11"/>
        <v>1.0810810810810809</v>
      </c>
    </row>
    <row r="34" spans="2:38" s="9" customFormat="1" x14ac:dyDescent="0.25">
      <c r="B34" s="8">
        <v>46191</v>
      </c>
      <c r="C34" s="9" t="s">
        <v>31</v>
      </c>
      <c r="D34" s="9" t="s">
        <v>33</v>
      </c>
      <c r="E34" s="10">
        <v>0.505</v>
      </c>
      <c r="F34" s="10">
        <v>0.28499999999999998</v>
      </c>
      <c r="G34" s="10">
        <v>0.20499999999999999</v>
      </c>
      <c r="H34" s="10"/>
      <c r="I34" s="11"/>
      <c r="K34" s="12">
        <v>1</v>
      </c>
      <c r="L34" s="12">
        <v>1</v>
      </c>
      <c r="M34" s="9" t="str">
        <f t="shared" si="12"/>
        <v>draw</v>
      </c>
      <c r="N34" s="9" t="str">
        <f t="shared" si="20"/>
        <v>draw</v>
      </c>
      <c r="P34" s="9" t="str">
        <f t="shared" si="0"/>
        <v>South Africa</v>
      </c>
      <c r="Q34" s="9" t="str">
        <f t="shared" si="1"/>
        <v>Czechia</v>
      </c>
      <c r="S34" s="9">
        <f t="shared" si="2"/>
        <v>0</v>
      </c>
      <c r="T34" s="10">
        <f t="shared" si="3"/>
        <v>0.20499999999999999</v>
      </c>
      <c r="U34" s="10">
        <f t="shared" si="4"/>
        <v>0</v>
      </c>
      <c r="W34" s="9">
        <f t="shared" si="13"/>
        <v>0</v>
      </c>
      <c r="X34" s="10">
        <f t="shared" si="5"/>
        <v>0.505</v>
      </c>
      <c r="Y34" s="10">
        <f t="shared" si="6"/>
        <v>0</v>
      </c>
      <c r="AA34" s="9">
        <f t="shared" si="14"/>
        <v>1</v>
      </c>
      <c r="AB34" s="10">
        <f t="shared" si="15"/>
        <v>0.28499999999999998</v>
      </c>
      <c r="AC34" s="10">
        <f t="shared" si="16"/>
        <v>3.5087719298245617</v>
      </c>
      <c r="AE34" s="9">
        <f t="shared" si="7"/>
        <v>1</v>
      </c>
      <c r="AF34" s="10">
        <f t="shared" si="17"/>
        <v>0.495</v>
      </c>
      <c r="AG34" s="10">
        <f t="shared" si="18"/>
        <v>2.0202020202020203</v>
      </c>
      <c r="AJ34" s="9">
        <f t="shared" si="21"/>
        <v>0</v>
      </c>
      <c r="AK34" s="10">
        <f t="shared" si="19"/>
        <v>0.79500000000000004</v>
      </c>
      <c r="AL34" s="10">
        <f t="shared" si="11"/>
        <v>0</v>
      </c>
    </row>
    <row r="35" spans="2:38" s="9" customFormat="1" x14ac:dyDescent="0.25">
      <c r="B35" s="8">
        <v>46191</v>
      </c>
      <c r="C35" s="9" t="s">
        <v>16</v>
      </c>
      <c r="D35" s="9" t="s">
        <v>6</v>
      </c>
      <c r="E35" s="10">
        <v>0.625</v>
      </c>
      <c r="F35" s="10">
        <v>0.23499999999999999</v>
      </c>
      <c r="G35" s="10">
        <v>0.14499999999999999</v>
      </c>
      <c r="H35" s="10"/>
      <c r="I35" s="11"/>
      <c r="K35" s="12">
        <v>4</v>
      </c>
      <c r="L35" s="12">
        <v>1</v>
      </c>
      <c r="M35" s="9" t="str">
        <f t="shared" si="12"/>
        <v>Switzerland</v>
      </c>
      <c r="N35" s="9" t="str">
        <f t="shared" si="20"/>
        <v>fav win</v>
      </c>
      <c r="P35" s="9" t="str">
        <f t="shared" si="0"/>
        <v>Bosnia-Herzegovina</v>
      </c>
      <c r="Q35" s="9" t="str">
        <f t="shared" si="1"/>
        <v>Switzerland</v>
      </c>
      <c r="S35" s="9">
        <f t="shared" si="2"/>
        <v>0</v>
      </c>
      <c r="T35" s="10">
        <f t="shared" si="3"/>
        <v>0.14499999999999999</v>
      </c>
      <c r="U35" s="10">
        <f t="shared" si="4"/>
        <v>0</v>
      </c>
      <c r="W35" s="9">
        <f t="shared" si="13"/>
        <v>1</v>
      </c>
      <c r="X35" s="10">
        <f t="shared" si="5"/>
        <v>0.625</v>
      </c>
      <c r="Y35" s="10">
        <f t="shared" si="6"/>
        <v>1.6</v>
      </c>
      <c r="AA35" s="9">
        <f t="shared" si="14"/>
        <v>0</v>
      </c>
      <c r="AB35" s="10">
        <f t="shared" si="15"/>
        <v>0.23499999999999999</v>
      </c>
      <c r="AC35" s="10">
        <f t="shared" si="16"/>
        <v>0</v>
      </c>
      <c r="AE35" s="9">
        <f t="shared" si="7"/>
        <v>0</v>
      </c>
      <c r="AF35" s="10">
        <f t="shared" si="17"/>
        <v>0.375</v>
      </c>
      <c r="AG35" s="10">
        <f t="shared" si="18"/>
        <v>0</v>
      </c>
      <c r="AJ35" s="9">
        <f t="shared" si="21"/>
        <v>1</v>
      </c>
      <c r="AK35" s="10">
        <f t="shared" si="19"/>
        <v>0.85499999999999998</v>
      </c>
      <c r="AL35" s="10">
        <f t="shared" si="11"/>
        <v>1.1695906432748537</v>
      </c>
    </row>
    <row r="36" spans="2:38" s="9" customFormat="1" x14ac:dyDescent="0.25">
      <c r="B36" s="8">
        <v>46191</v>
      </c>
      <c r="C36" s="9" t="s">
        <v>5</v>
      </c>
      <c r="D36" s="9" t="s">
        <v>15</v>
      </c>
      <c r="E36" s="10">
        <v>0.78500000000000003</v>
      </c>
      <c r="F36" s="10">
        <v>0.155</v>
      </c>
      <c r="G36" s="10">
        <v>6.5000000000000002E-2</v>
      </c>
      <c r="H36" s="10"/>
      <c r="I36" s="11"/>
      <c r="K36" s="12">
        <v>6</v>
      </c>
      <c r="L36" s="12">
        <v>0</v>
      </c>
      <c r="M36" s="9" t="str">
        <f t="shared" si="12"/>
        <v>Canada</v>
      </c>
      <c r="N36" s="9" t="str">
        <f t="shared" si="20"/>
        <v>fav win</v>
      </c>
      <c r="P36" s="9" t="str">
        <f t="shared" si="0"/>
        <v>Qatar</v>
      </c>
      <c r="Q36" s="9" t="str">
        <f t="shared" si="1"/>
        <v>Canada</v>
      </c>
      <c r="S36" s="9">
        <f t="shared" si="2"/>
        <v>0</v>
      </c>
      <c r="T36" s="10">
        <f t="shared" si="3"/>
        <v>6.5000000000000002E-2</v>
      </c>
      <c r="U36" s="10">
        <f t="shared" si="4"/>
        <v>0</v>
      </c>
      <c r="W36" s="9">
        <f t="shared" si="13"/>
        <v>1</v>
      </c>
      <c r="X36" s="10">
        <f t="shared" si="5"/>
        <v>0.78500000000000003</v>
      </c>
      <c r="Y36" s="10">
        <f t="shared" si="6"/>
        <v>1.2738853503184713</v>
      </c>
      <c r="AA36" s="9">
        <f t="shared" si="14"/>
        <v>0</v>
      </c>
      <c r="AB36" s="10">
        <f t="shared" si="15"/>
        <v>0.155</v>
      </c>
      <c r="AC36" s="10">
        <f t="shared" si="16"/>
        <v>0</v>
      </c>
      <c r="AE36" s="9">
        <f t="shared" si="7"/>
        <v>0</v>
      </c>
      <c r="AF36" s="10">
        <f t="shared" si="17"/>
        <v>0.21499999999999997</v>
      </c>
      <c r="AG36" s="10">
        <f t="shared" si="18"/>
        <v>0</v>
      </c>
      <c r="AJ36" s="9">
        <f t="shared" si="21"/>
        <v>1</v>
      </c>
      <c r="AK36" s="10">
        <f t="shared" si="19"/>
        <v>0.93500000000000005</v>
      </c>
      <c r="AL36" s="10">
        <f t="shared" si="11"/>
        <v>1.0695187165775399</v>
      </c>
    </row>
    <row r="37" spans="2:38" s="9" customFormat="1" x14ac:dyDescent="0.25">
      <c r="B37" s="8">
        <v>46191</v>
      </c>
      <c r="C37" s="9" t="s">
        <v>32</v>
      </c>
      <c r="D37" s="9" t="s">
        <v>34</v>
      </c>
      <c r="E37" s="10">
        <v>0.46500000000000002</v>
      </c>
      <c r="F37" s="10">
        <v>0.315</v>
      </c>
      <c r="G37" s="10">
        <v>0.215</v>
      </c>
      <c r="H37" s="10"/>
      <c r="I37" s="11"/>
      <c r="K37" s="12">
        <v>1</v>
      </c>
      <c r="L37" s="12">
        <v>0</v>
      </c>
      <c r="M37" s="9" t="str">
        <f t="shared" si="12"/>
        <v>Mexico</v>
      </c>
      <c r="N37" s="9" t="str">
        <f t="shared" si="20"/>
        <v>fav win</v>
      </c>
      <c r="P37" s="9" t="str">
        <f t="shared" si="0"/>
        <v>South Korea</v>
      </c>
      <c r="Q37" s="9" t="str">
        <f t="shared" si="1"/>
        <v>Mexico</v>
      </c>
      <c r="S37" s="9">
        <f t="shared" si="2"/>
        <v>0</v>
      </c>
      <c r="T37" s="10">
        <f t="shared" si="3"/>
        <v>0.215</v>
      </c>
      <c r="U37" s="10">
        <f t="shared" si="4"/>
        <v>0</v>
      </c>
      <c r="W37" s="9">
        <f t="shared" si="13"/>
        <v>1</v>
      </c>
      <c r="X37" s="10">
        <f t="shared" si="5"/>
        <v>0.46500000000000002</v>
      </c>
      <c r="Y37" s="10">
        <f t="shared" si="6"/>
        <v>2.150537634408602</v>
      </c>
      <c r="AA37" s="9">
        <f t="shared" si="14"/>
        <v>0</v>
      </c>
      <c r="AB37" s="10">
        <f t="shared" si="15"/>
        <v>0.315</v>
      </c>
      <c r="AC37" s="10">
        <f t="shared" si="16"/>
        <v>0</v>
      </c>
      <c r="AE37" s="9">
        <f t="shared" si="7"/>
        <v>0</v>
      </c>
      <c r="AF37" s="10">
        <f t="shared" si="17"/>
        <v>0.53499999999999992</v>
      </c>
      <c r="AG37" s="10">
        <f t="shared" si="18"/>
        <v>0</v>
      </c>
      <c r="AJ37" s="9">
        <f t="shared" si="21"/>
        <v>1</v>
      </c>
      <c r="AK37" s="10">
        <f t="shared" si="19"/>
        <v>0.78500000000000003</v>
      </c>
      <c r="AL37" s="10">
        <f t="shared" si="11"/>
        <v>1.2738853503184713</v>
      </c>
    </row>
    <row r="38" spans="2:38" s="9" customFormat="1" x14ac:dyDescent="0.25">
      <c r="B38" s="8">
        <v>46192</v>
      </c>
      <c r="C38" s="9" t="s">
        <v>7</v>
      </c>
      <c r="D38" s="9" t="s">
        <v>21</v>
      </c>
      <c r="E38" s="10">
        <v>0.625</v>
      </c>
      <c r="F38" s="10">
        <v>0.22500000000000001</v>
      </c>
      <c r="G38" s="10">
        <v>0.14499999999999999</v>
      </c>
      <c r="H38" s="10"/>
      <c r="I38" s="11"/>
      <c r="K38" s="12">
        <v>2</v>
      </c>
      <c r="L38" s="12">
        <v>0</v>
      </c>
      <c r="M38" s="9" t="str">
        <f t="shared" si="12"/>
        <v>USA</v>
      </c>
      <c r="N38" s="9" t="str">
        <f t="shared" si="20"/>
        <v>fav win</v>
      </c>
      <c r="P38" s="9" t="str">
        <f t="shared" si="0"/>
        <v>Australia</v>
      </c>
      <c r="Q38" s="9" t="str">
        <f t="shared" si="1"/>
        <v>USA</v>
      </c>
      <c r="S38" s="9">
        <f t="shared" si="2"/>
        <v>0</v>
      </c>
      <c r="T38" s="10">
        <f t="shared" si="3"/>
        <v>0.14499999999999999</v>
      </c>
      <c r="U38" s="10">
        <f t="shared" si="4"/>
        <v>0</v>
      </c>
      <c r="W38" s="9">
        <f t="shared" si="13"/>
        <v>1</v>
      </c>
      <c r="X38" s="10">
        <f t="shared" si="5"/>
        <v>0.625</v>
      </c>
      <c r="Y38" s="10">
        <f t="shared" si="6"/>
        <v>1.6</v>
      </c>
      <c r="AA38" s="9">
        <f t="shared" si="14"/>
        <v>0</v>
      </c>
      <c r="AB38" s="10">
        <f t="shared" si="15"/>
        <v>0.22500000000000001</v>
      </c>
      <c r="AC38" s="10">
        <f t="shared" si="16"/>
        <v>0</v>
      </c>
      <c r="AE38" s="9">
        <f t="shared" si="7"/>
        <v>0</v>
      </c>
      <c r="AF38" s="10">
        <f t="shared" si="17"/>
        <v>0.375</v>
      </c>
      <c r="AG38" s="10">
        <f t="shared" si="18"/>
        <v>0</v>
      </c>
      <c r="AJ38" s="9">
        <f t="shared" si="21"/>
        <v>1</v>
      </c>
      <c r="AK38" s="10">
        <f t="shared" si="19"/>
        <v>0.85499999999999998</v>
      </c>
      <c r="AL38" s="10">
        <f t="shared" si="11"/>
        <v>1.1695906432748537</v>
      </c>
    </row>
    <row r="39" spans="2:38" s="9" customFormat="1" x14ac:dyDescent="0.25">
      <c r="B39" s="8">
        <v>46192</v>
      </c>
      <c r="C39" s="9" t="s">
        <v>20</v>
      </c>
      <c r="D39" s="9" t="s">
        <v>18</v>
      </c>
      <c r="E39" s="10">
        <v>0.155</v>
      </c>
      <c r="F39" s="10">
        <v>0.26500000000000001</v>
      </c>
      <c r="G39" s="10">
        <v>0.58499999999999996</v>
      </c>
      <c r="H39" s="10"/>
      <c r="I39" s="11"/>
      <c r="K39" s="12">
        <v>0</v>
      </c>
      <c r="L39" s="12">
        <v>1</v>
      </c>
      <c r="M39" s="9" t="str">
        <f t="shared" si="12"/>
        <v>Morocco</v>
      </c>
      <c r="N39" s="9" t="str">
        <f t="shared" si="20"/>
        <v>fav win</v>
      </c>
      <c r="P39" s="9" t="str">
        <f t="shared" si="0"/>
        <v>Scotland</v>
      </c>
      <c r="Q39" s="9" t="str">
        <f t="shared" si="1"/>
        <v>Morocco</v>
      </c>
      <c r="S39" s="9">
        <f t="shared" si="2"/>
        <v>0</v>
      </c>
      <c r="T39" s="10">
        <f t="shared" si="3"/>
        <v>0.155</v>
      </c>
      <c r="U39" s="10">
        <f t="shared" si="4"/>
        <v>0</v>
      </c>
      <c r="W39" s="9">
        <f t="shared" si="13"/>
        <v>1</v>
      </c>
      <c r="X39" s="10">
        <f t="shared" si="5"/>
        <v>0.58499999999999996</v>
      </c>
      <c r="Y39" s="10">
        <f t="shared" si="6"/>
        <v>1.7094017094017095</v>
      </c>
      <c r="AA39" s="9">
        <f t="shared" si="14"/>
        <v>0</v>
      </c>
      <c r="AB39" s="10">
        <f t="shared" si="15"/>
        <v>0.26500000000000001</v>
      </c>
      <c r="AC39" s="10">
        <f t="shared" si="16"/>
        <v>0</v>
      </c>
      <c r="AE39" s="9">
        <f t="shared" si="7"/>
        <v>0</v>
      </c>
      <c r="AF39" s="10">
        <f t="shared" si="17"/>
        <v>0.41500000000000004</v>
      </c>
      <c r="AG39" s="10">
        <f t="shared" si="18"/>
        <v>0</v>
      </c>
      <c r="AJ39" s="9">
        <f t="shared" si="21"/>
        <v>1</v>
      </c>
      <c r="AK39" s="10">
        <f t="shared" si="19"/>
        <v>0.84499999999999997</v>
      </c>
      <c r="AL39" s="10">
        <f t="shared" si="11"/>
        <v>1.1834319526627219</v>
      </c>
    </row>
    <row r="40" spans="2:38" s="9" customFormat="1" x14ac:dyDescent="0.25">
      <c r="B40" s="8">
        <v>46192</v>
      </c>
      <c r="C40" s="9" t="s">
        <v>17</v>
      </c>
      <c r="D40" s="9" t="s">
        <v>19</v>
      </c>
      <c r="E40" s="10">
        <v>0.875</v>
      </c>
      <c r="F40" s="10">
        <v>8.3000000000000004E-2</v>
      </c>
      <c r="G40" s="10">
        <v>4.2000000000000003E-2</v>
      </c>
      <c r="H40" s="10"/>
      <c r="I40" s="11"/>
      <c r="K40" s="12">
        <v>3</v>
      </c>
      <c r="L40" s="12">
        <v>0</v>
      </c>
      <c r="M40" s="9" t="str">
        <f t="shared" si="12"/>
        <v>Brazil</v>
      </c>
      <c r="N40" s="9" t="str">
        <f t="shared" si="20"/>
        <v>fav win</v>
      </c>
      <c r="P40" s="9" t="str">
        <f t="shared" si="0"/>
        <v>Haiti</v>
      </c>
      <c r="Q40" s="9" t="str">
        <f t="shared" si="1"/>
        <v>Brazil</v>
      </c>
      <c r="S40" s="9">
        <f t="shared" si="2"/>
        <v>0</v>
      </c>
      <c r="T40" s="10">
        <f t="shared" si="3"/>
        <v>4.2000000000000003E-2</v>
      </c>
      <c r="U40" s="10">
        <f t="shared" si="4"/>
        <v>0</v>
      </c>
      <c r="W40" s="9">
        <f t="shared" si="13"/>
        <v>1</v>
      </c>
      <c r="X40" s="10">
        <f t="shared" si="5"/>
        <v>0.875</v>
      </c>
      <c r="Y40" s="10">
        <f t="shared" si="6"/>
        <v>1.1428571428571428</v>
      </c>
      <c r="AA40" s="9">
        <f t="shared" si="14"/>
        <v>0</v>
      </c>
      <c r="AB40" s="10">
        <f t="shared" si="15"/>
        <v>8.3000000000000004E-2</v>
      </c>
      <c r="AC40" s="10">
        <f t="shared" si="16"/>
        <v>0</v>
      </c>
      <c r="AE40" s="9">
        <f t="shared" si="7"/>
        <v>0</v>
      </c>
      <c r="AF40" s="10">
        <f t="shared" si="17"/>
        <v>0.125</v>
      </c>
      <c r="AG40" s="10">
        <f t="shared" si="18"/>
        <v>0</v>
      </c>
      <c r="AJ40" s="9">
        <f t="shared" si="21"/>
        <v>1</v>
      </c>
      <c r="AK40" s="10">
        <f t="shared" si="19"/>
        <v>0.95799999999999996</v>
      </c>
      <c r="AL40" s="10">
        <f t="shared" si="11"/>
        <v>1.0438413361169103</v>
      </c>
    </row>
    <row r="41" spans="2:38" s="9" customFormat="1" x14ac:dyDescent="0.25">
      <c r="B41" s="8">
        <v>46192</v>
      </c>
      <c r="C41" s="9" t="s">
        <v>22</v>
      </c>
      <c r="D41" s="9" t="s">
        <v>8</v>
      </c>
      <c r="E41" s="10">
        <v>0.45500000000000002</v>
      </c>
      <c r="F41" s="10">
        <v>0.29499999999999998</v>
      </c>
      <c r="G41" s="10">
        <v>0.245</v>
      </c>
      <c r="H41" s="10"/>
      <c r="I41" s="11"/>
      <c r="K41" s="12">
        <v>0</v>
      </c>
      <c r="L41" s="12">
        <v>1</v>
      </c>
      <c r="M41" s="9" t="str">
        <f t="shared" si="12"/>
        <v>Paraguay</v>
      </c>
      <c r="N41" s="9" t="str">
        <f t="shared" si="20"/>
        <v>dog win</v>
      </c>
      <c r="P41" s="9" t="str">
        <f t="shared" si="0"/>
        <v>Paraguay</v>
      </c>
      <c r="Q41" s="9" t="str">
        <f t="shared" si="1"/>
        <v>Turkey</v>
      </c>
      <c r="S41" s="9">
        <f t="shared" si="2"/>
        <v>1</v>
      </c>
      <c r="T41" s="10">
        <f t="shared" si="3"/>
        <v>0.245</v>
      </c>
      <c r="U41" s="10">
        <f t="shared" si="4"/>
        <v>4.0816326530612246</v>
      </c>
      <c r="W41" s="9">
        <f t="shared" si="13"/>
        <v>0</v>
      </c>
      <c r="X41" s="10">
        <f t="shared" si="5"/>
        <v>0.45500000000000002</v>
      </c>
      <c r="Y41" s="10">
        <f t="shared" si="6"/>
        <v>0</v>
      </c>
      <c r="AA41" s="9">
        <f t="shared" si="14"/>
        <v>0</v>
      </c>
      <c r="AB41" s="10">
        <f t="shared" si="15"/>
        <v>0.29499999999999998</v>
      </c>
      <c r="AC41" s="10">
        <f t="shared" si="16"/>
        <v>0</v>
      </c>
      <c r="AE41" s="9">
        <f t="shared" si="7"/>
        <v>1</v>
      </c>
      <c r="AF41" s="10">
        <f t="shared" si="17"/>
        <v>0.54499999999999993</v>
      </c>
      <c r="AG41" s="10">
        <f t="shared" si="18"/>
        <v>1.8348623853211012</v>
      </c>
      <c r="AJ41" s="9">
        <f t="shared" si="21"/>
        <v>0</v>
      </c>
      <c r="AK41" s="10">
        <f t="shared" si="19"/>
        <v>0.755</v>
      </c>
      <c r="AL41" s="10">
        <f t="shared" si="11"/>
        <v>0</v>
      </c>
    </row>
    <row r="42" spans="2:38" s="9" customFormat="1" x14ac:dyDescent="0.25">
      <c r="B42" s="8">
        <v>46193</v>
      </c>
      <c r="C42" s="9" t="s">
        <v>25</v>
      </c>
      <c r="D42" s="9" t="s">
        <v>29</v>
      </c>
      <c r="E42" s="10">
        <v>0.56499999999999995</v>
      </c>
      <c r="F42" s="10">
        <v>0.245</v>
      </c>
      <c r="G42" s="10">
        <v>0.19500000000000001</v>
      </c>
      <c r="H42" s="10"/>
      <c r="I42" s="11"/>
      <c r="K42" s="12">
        <v>5</v>
      </c>
      <c r="L42" s="12">
        <v>1</v>
      </c>
      <c r="M42" s="9" t="str">
        <f t="shared" si="12"/>
        <v>Netherlands</v>
      </c>
      <c r="N42" s="9" t="str">
        <f t="shared" si="20"/>
        <v>fav win</v>
      </c>
      <c r="P42" s="9" t="str">
        <f t="shared" ref="P42:P63" si="22">+IF(G42&lt;E42,D42,C42)</f>
        <v>Sweden</v>
      </c>
      <c r="Q42" s="9" t="str">
        <f t="shared" ref="Q42:Q59" si="23">+IF(P42=C42,D42,C42)</f>
        <v>Netherlands</v>
      </c>
      <c r="S42" s="9">
        <f t="shared" ref="S42:S61" si="24">+IF(P42=M42,1,0)</f>
        <v>0</v>
      </c>
      <c r="T42" s="10">
        <f t="shared" ref="T42:T59" si="25">+IF(P42=C42,E42,G42)</f>
        <v>0.19500000000000001</v>
      </c>
      <c r="U42" s="10">
        <f t="shared" si="4"/>
        <v>0</v>
      </c>
      <c r="W42" s="9">
        <f t="shared" si="13"/>
        <v>1</v>
      </c>
      <c r="X42" s="10">
        <f t="shared" ref="X42:X59" si="26">+IF(P42=C42,G42,E42)</f>
        <v>0.56499999999999995</v>
      </c>
      <c r="Y42" s="10">
        <f t="shared" si="6"/>
        <v>1.7699115044247788</v>
      </c>
      <c r="AA42" s="9">
        <f t="shared" si="14"/>
        <v>0</v>
      </c>
      <c r="AB42" s="10">
        <f t="shared" si="15"/>
        <v>0.245</v>
      </c>
      <c r="AC42" s="10">
        <f t="shared" si="16"/>
        <v>0</v>
      </c>
      <c r="AE42" s="9">
        <f t="shared" si="7"/>
        <v>0</v>
      </c>
      <c r="AF42" s="10">
        <f t="shared" si="17"/>
        <v>0.43500000000000005</v>
      </c>
      <c r="AG42" s="10">
        <f t="shared" si="18"/>
        <v>0</v>
      </c>
      <c r="AJ42" s="9">
        <f t="shared" si="21"/>
        <v>1</v>
      </c>
      <c r="AK42" s="10">
        <f t="shared" si="19"/>
        <v>0.80499999999999994</v>
      </c>
      <c r="AL42" s="10">
        <f t="shared" si="11"/>
        <v>1.2422360248447206</v>
      </c>
    </row>
    <row r="43" spans="2:38" s="9" customFormat="1" x14ac:dyDescent="0.25">
      <c r="B43" s="8">
        <v>46193</v>
      </c>
      <c r="C43" s="9" t="s">
        <v>23</v>
      </c>
      <c r="D43" s="9" t="s">
        <v>63</v>
      </c>
      <c r="E43" s="10">
        <v>0.63500000000000001</v>
      </c>
      <c r="F43" s="10">
        <v>0.20499999999999999</v>
      </c>
      <c r="G43" s="10">
        <v>0.14499999999999999</v>
      </c>
      <c r="H43" s="10"/>
      <c r="I43" s="11"/>
      <c r="K43" s="12">
        <v>2</v>
      </c>
      <c r="L43" s="12">
        <v>1</v>
      </c>
      <c r="M43" s="9" t="str">
        <f t="shared" si="12"/>
        <v>Germany</v>
      </c>
      <c r="N43" s="9" t="str">
        <f t="shared" si="20"/>
        <v>fav win</v>
      </c>
      <c r="P43" s="9" t="str">
        <f t="shared" si="22"/>
        <v>Ivory Coast</v>
      </c>
      <c r="Q43" s="9" t="str">
        <f t="shared" si="23"/>
        <v>Germany</v>
      </c>
      <c r="S43" s="9">
        <f t="shared" si="24"/>
        <v>0</v>
      </c>
      <c r="T43" s="10">
        <f t="shared" si="25"/>
        <v>0.14499999999999999</v>
      </c>
      <c r="U43" s="10">
        <f t="shared" si="4"/>
        <v>0</v>
      </c>
      <c r="W43" s="9">
        <f t="shared" si="13"/>
        <v>1</v>
      </c>
      <c r="X43" s="10">
        <f t="shared" si="26"/>
        <v>0.63500000000000001</v>
      </c>
      <c r="Y43" s="10">
        <f t="shared" si="6"/>
        <v>1.5748031496062991</v>
      </c>
      <c r="AA43" s="9">
        <f t="shared" si="14"/>
        <v>0</v>
      </c>
      <c r="AB43" s="10">
        <f t="shared" si="15"/>
        <v>0.20499999999999999</v>
      </c>
      <c r="AC43" s="10">
        <f t="shared" si="16"/>
        <v>0</v>
      </c>
      <c r="AE43" s="9">
        <f t="shared" si="7"/>
        <v>0</v>
      </c>
      <c r="AF43" s="10">
        <f t="shared" si="17"/>
        <v>0.36499999999999999</v>
      </c>
      <c r="AG43" s="10">
        <f t="shared" si="18"/>
        <v>0</v>
      </c>
      <c r="AJ43" s="9">
        <f t="shared" si="21"/>
        <v>1</v>
      </c>
      <c r="AK43" s="10">
        <f t="shared" si="19"/>
        <v>0.85499999999999998</v>
      </c>
      <c r="AL43" s="10">
        <f t="shared" si="11"/>
        <v>1.1695906432748537</v>
      </c>
    </row>
    <row r="44" spans="2:38" s="9" customFormat="1" x14ac:dyDescent="0.25">
      <c r="B44" s="8">
        <v>46193</v>
      </c>
      <c r="C44" s="9" t="s">
        <v>64</v>
      </c>
      <c r="D44" s="9" t="s">
        <v>24</v>
      </c>
      <c r="E44" s="10">
        <v>0.85499999999999998</v>
      </c>
      <c r="F44" s="10">
        <v>0.105</v>
      </c>
      <c r="G44" s="10">
        <v>4.7E-2</v>
      </c>
      <c r="H44" s="10"/>
      <c r="I44" s="11"/>
      <c r="K44" s="12">
        <v>0</v>
      </c>
      <c r="L44" s="12">
        <v>0</v>
      </c>
      <c r="M44" s="9" t="str">
        <f t="shared" si="12"/>
        <v>draw</v>
      </c>
      <c r="N44" s="9" t="str">
        <f t="shared" si="20"/>
        <v>draw</v>
      </c>
      <c r="P44" s="9" t="str">
        <f t="shared" si="22"/>
        <v>Curcao</v>
      </c>
      <c r="Q44" s="9" t="str">
        <f t="shared" si="23"/>
        <v>Equador</v>
      </c>
      <c r="S44" s="9">
        <f t="shared" si="24"/>
        <v>0</v>
      </c>
      <c r="T44" s="10">
        <f t="shared" si="25"/>
        <v>4.7E-2</v>
      </c>
      <c r="U44" s="10">
        <f t="shared" si="4"/>
        <v>0</v>
      </c>
      <c r="W44" s="9">
        <f t="shared" si="13"/>
        <v>0</v>
      </c>
      <c r="X44" s="10">
        <f t="shared" si="26"/>
        <v>0.85499999999999998</v>
      </c>
      <c r="Y44" s="10">
        <f t="shared" si="6"/>
        <v>0</v>
      </c>
      <c r="AA44" s="9">
        <f t="shared" si="14"/>
        <v>1</v>
      </c>
      <c r="AB44" s="10">
        <f t="shared" si="15"/>
        <v>0.105</v>
      </c>
      <c r="AC44" s="10">
        <f t="shared" si="16"/>
        <v>9.5238095238095237</v>
      </c>
      <c r="AE44" s="9">
        <f t="shared" si="7"/>
        <v>1</v>
      </c>
      <c r="AF44" s="10">
        <f t="shared" si="17"/>
        <v>0.14500000000000002</v>
      </c>
      <c r="AG44" s="10">
        <f t="shared" si="18"/>
        <v>6.8965517241379306</v>
      </c>
      <c r="AJ44" s="9">
        <f t="shared" si="21"/>
        <v>0</v>
      </c>
      <c r="AK44" s="10">
        <f t="shared" si="19"/>
        <v>0.95299999999999996</v>
      </c>
      <c r="AL44" s="10">
        <f t="shared" si="11"/>
        <v>0</v>
      </c>
    </row>
    <row r="45" spans="2:38" s="9" customFormat="1" x14ac:dyDescent="0.25">
      <c r="B45" s="8">
        <v>46193</v>
      </c>
      <c r="C45" s="9" t="s">
        <v>30</v>
      </c>
      <c r="D45" s="9" t="s">
        <v>26</v>
      </c>
      <c r="E45" s="10">
        <v>0.105</v>
      </c>
      <c r="F45" s="10">
        <v>0.22500000000000001</v>
      </c>
      <c r="G45" s="10">
        <v>0.66500000000000004</v>
      </c>
      <c r="H45" s="10"/>
      <c r="I45" s="11"/>
      <c r="K45" s="12">
        <v>0</v>
      </c>
      <c r="L45" s="12">
        <v>4</v>
      </c>
      <c r="M45" s="9" t="str">
        <f t="shared" si="12"/>
        <v>Japan</v>
      </c>
      <c r="N45" s="9" t="str">
        <f t="shared" si="20"/>
        <v>fav win</v>
      </c>
      <c r="P45" s="9" t="str">
        <f t="shared" si="22"/>
        <v>Tunisia</v>
      </c>
      <c r="Q45" s="9" t="str">
        <f t="shared" si="23"/>
        <v>Japan</v>
      </c>
      <c r="S45" s="9">
        <f t="shared" si="24"/>
        <v>0</v>
      </c>
      <c r="T45" s="10">
        <f t="shared" si="25"/>
        <v>0.105</v>
      </c>
      <c r="U45" s="10">
        <f t="shared" si="4"/>
        <v>0</v>
      </c>
      <c r="W45" s="9">
        <f t="shared" si="13"/>
        <v>1</v>
      </c>
      <c r="X45" s="10">
        <f t="shared" si="26"/>
        <v>0.66500000000000004</v>
      </c>
      <c r="Y45" s="10">
        <f t="shared" si="6"/>
        <v>1.5037593984962405</v>
      </c>
      <c r="AA45" s="9">
        <f t="shared" si="14"/>
        <v>0</v>
      </c>
      <c r="AB45" s="10">
        <f t="shared" si="15"/>
        <v>0.22500000000000001</v>
      </c>
      <c r="AC45" s="10">
        <f t="shared" si="16"/>
        <v>0</v>
      </c>
      <c r="AE45" s="9">
        <f t="shared" si="7"/>
        <v>0</v>
      </c>
      <c r="AF45" s="10">
        <f t="shared" si="17"/>
        <v>0.33499999999999996</v>
      </c>
      <c r="AG45" s="10">
        <f t="shared" si="18"/>
        <v>0</v>
      </c>
      <c r="AJ45" s="9">
        <f t="shared" si="21"/>
        <v>1</v>
      </c>
      <c r="AK45" s="10">
        <f t="shared" si="19"/>
        <v>0.89500000000000002</v>
      </c>
      <c r="AL45" s="10">
        <f t="shared" si="11"/>
        <v>1.1173184357541899</v>
      </c>
    </row>
    <row r="46" spans="2:38" s="9" customFormat="1" x14ac:dyDescent="0.25">
      <c r="B46" s="8">
        <v>46194</v>
      </c>
      <c r="C46" s="9" t="s">
        <v>43</v>
      </c>
      <c r="D46" s="9" t="s">
        <v>41</v>
      </c>
      <c r="E46" s="10">
        <v>0.90500000000000003</v>
      </c>
      <c r="F46" s="10">
        <v>7.4999999999999997E-2</v>
      </c>
      <c r="G46" s="10">
        <v>2.9000000000000001E-2</v>
      </c>
      <c r="H46" s="10"/>
      <c r="I46" s="11"/>
      <c r="K46" s="12">
        <v>4</v>
      </c>
      <c r="L46" s="12">
        <v>0</v>
      </c>
      <c r="M46" s="9" t="str">
        <f t="shared" si="12"/>
        <v>Spain</v>
      </c>
      <c r="N46" s="9" t="str">
        <f t="shared" si="20"/>
        <v>fav win</v>
      </c>
      <c r="P46" s="9" t="str">
        <f t="shared" si="22"/>
        <v>Saudi Arabia</v>
      </c>
      <c r="Q46" s="9" t="str">
        <f t="shared" si="23"/>
        <v>Spain</v>
      </c>
      <c r="S46" s="9">
        <f t="shared" si="24"/>
        <v>0</v>
      </c>
      <c r="T46" s="10">
        <f t="shared" si="25"/>
        <v>2.9000000000000001E-2</v>
      </c>
      <c r="U46" s="10">
        <f t="shared" si="4"/>
        <v>0</v>
      </c>
      <c r="W46" s="9">
        <f t="shared" si="13"/>
        <v>1</v>
      </c>
      <c r="X46" s="10">
        <f t="shared" si="26"/>
        <v>0.90500000000000003</v>
      </c>
      <c r="Y46" s="10">
        <f t="shared" si="6"/>
        <v>1.1049723756906078</v>
      </c>
      <c r="AA46" s="9">
        <f t="shared" si="14"/>
        <v>0</v>
      </c>
      <c r="AB46" s="10">
        <f t="shared" si="15"/>
        <v>7.4999999999999997E-2</v>
      </c>
      <c r="AC46" s="10">
        <f t="shared" si="16"/>
        <v>0</v>
      </c>
      <c r="AE46" s="9">
        <f t="shared" si="7"/>
        <v>0</v>
      </c>
      <c r="AF46" s="10">
        <f t="shared" si="17"/>
        <v>9.4999999999999973E-2</v>
      </c>
      <c r="AG46" s="10">
        <f t="shared" si="18"/>
        <v>0</v>
      </c>
      <c r="AJ46" s="9">
        <f t="shared" si="21"/>
        <v>1</v>
      </c>
      <c r="AK46" s="10">
        <f t="shared" si="19"/>
        <v>0.97099999999999997</v>
      </c>
      <c r="AL46" s="10">
        <f t="shared" si="11"/>
        <v>1.0298661174047374</v>
      </c>
    </row>
    <row r="47" spans="2:38" s="9" customFormat="1" x14ac:dyDescent="0.25">
      <c r="B47" s="8">
        <v>46194</v>
      </c>
      <c r="C47" s="9" t="s">
        <v>47</v>
      </c>
      <c r="D47" s="9" t="s">
        <v>45</v>
      </c>
      <c r="E47" s="10">
        <v>0.71499999999999997</v>
      </c>
      <c r="F47" s="10">
        <v>0.19500000000000001</v>
      </c>
      <c r="G47" s="10">
        <v>9.5000000000000001E-2</v>
      </c>
      <c r="H47" s="10"/>
      <c r="I47" s="11"/>
      <c r="K47" s="12">
        <v>0</v>
      </c>
      <c r="L47" s="12">
        <v>0</v>
      </c>
      <c r="M47" s="9" t="str">
        <f t="shared" si="12"/>
        <v>draw</v>
      </c>
      <c r="N47" s="9" t="str">
        <f t="shared" si="20"/>
        <v>draw</v>
      </c>
      <c r="P47" s="9" t="str">
        <f t="shared" si="22"/>
        <v>Iran</v>
      </c>
      <c r="Q47" s="9" t="str">
        <f t="shared" si="23"/>
        <v>Belgium</v>
      </c>
      <c r="S47" s="9">
        <f t="shared" si="24"/>
        <v>0</v>
      </c>
      <c r="T47" s="10">
        <f t="shared" si="25"/>
        <v>9.5000000000000001E-2</v>
      </c>
      <c r="U47" s="10">
        <f t="shared" si="4"/>
        <v>0</v>
      </c>
      <c r="W47" s="9">
        <f t="shared" si="13"/>
        <v>0</v>
      </c>
      <c r="X47" s="10">
        <f t="shared" si="26"/>
        <v>0.71499999999999997</v>
      </c>
      <c r="Y47" s="10">
        <f t="shared" si="6"/>
        <v>0</v>
      </c>
      <c r="AA47" s="9">
        <f t="shared" si="14"/>
        <v>1</v>
      </c>
      <c r="AB47" s="10">
        <f t="shared" si="15"/>
        <v>0.19500000000000001</v>
      </c>
      <c r="AC47" s="10">
        <f t="shared" si="16"/>
        <v>5.1282051282051277</v>
      </c>
      <c r="AE47" s="9">
        <f t="shared" si="7"/>
        <v>1</v>
      </c>
      <c r="AF47" s="10">
        <f t="shared" si="17"/>
        <v>0.28500000000000003</v>
      </c>
      <c r="AG47" s="10">
        <f t="shared" si="18"/>
        <v>3.5087719298245612</v>
      </c>
      <c r="AJ47" s="9">
        <f t="shared" si="21"/>
        <v>0</v>
      </c>
      <c r="AK47" s="10">
        <f t="shared" si="19"/>
        <v>0.90500000000000003</v>
      </c>
      <c r="AL47" s="10">
        <f t="shared" si="11"/>
        <v>0</v>
      </c>
    </row>
    <row r="48" spans="2:38" s="9" customFormat="1" x14ac:dyDescent="0.25">
      <c r="B48" s="8">
        <v>46194</v>
      </c>
      <c r="C48" s="9" t="s">
        <v>42</v>
      </c>
      <c r="D48" s="9" t="s">
        <v>40</v>
      </c>
      <c r="E48" s="10">
        <v>0.70499999999999996</v>
      </c>
      <c r="F48" s="10">
        <v>0.215</v>
      </c>
      <c r="G48" s="10">
        <v>8.5000000000000006E-2</v>
      </c>
      <c r="H48" s="10"/>
      <c r="I48" s="11"/>
      <c r="K48" s="12">
        <v>2</v>
      </c>
      <c r="L48" s="12">
        <v>2</v>
      </c>
      <c r="M48" s="9" t="str">
        <f t="shared" si="12"/>
        <v>draw</v>
      </c>
      <c r="N48" s="9" t="str">
        <f t="shared" si="20"/>
        <v>draw</v>
      </c>
      <c r="P48" s="9" t="str">
        <f t="shared" si="22"/>
        <v>Cabo Verde</v>
      </c>
      <c r="Q48" s="9" t="str">
        <f t="shared" si="23"/>
        <v>Uruguay</v>
      </c>
      <c r="S48" s="9">
        <f t="shared" si="24"/>
        <v>0</v>
      </c>
      <c r="T48" s="10">
        <f t="shared" si="25"/>
        <v>8.5000000000000006E-2</v>
      </c>
      <c r="U48" s="10">
        <f t="shared" si="4"/>
        <v>0</v>
      </c>
      <c r="W48" s="9">
        <f t="shared" si="13"/>
        <v>0</v>
      </c>
      <c r="X48" s="10">
        <f t="shared" si="26"/>
        <v>0.70499999999999996</v>
      </c>
      <c r="Y48" s="10">
        <f t="shared" si="6"/>
        <v>0</v>
      </c>
      <c r="AA48" s="9">
        <f t="shared" si="14"/>
        <v>1</v>
      </c>
      <c r="AB48" s="10">
        <f t="shared" si="15"/>
        <v>0.215</v>
      </c>
      <c r="AC48" s="10">
        <f t="shared" si="16"/>
        <v>4.6511627906976747</v>
      </c>
      <c r="AE48" s="9">
        <f t="shared" si="7"/>
        <v>1</v>
      </c>
      <c r="AF48" s="10">
        <f t="shared" si="17"/>
        <v>0.29500000000000004</v>
      </c>
      <c r="AG48" s="10">
        <f t="shared" si="18"/>
        <v>3.3898305084745757</v>
      </c>
      <c r="AJ48" s="9">
        <f t="shared" si="21"/>
        <v>0</v>
      </c>
      <c r="AK48" s="10">
        <f t="shared" si="19"/>
        <v>0.91500000000000004</v>
      </c>
      <c r="AL48" s="10">
        <f t="shared" si="11"/>
        <v>0</v>
      </c>
    </row>
    <row r="49" spans="2:38" s="9" customFormat="1" x14ac:dyDescent="0.25">
      <c r="B49" s="8">
        <v>46194</v>
      </c>
      <c r="C49" s="9" t="s">
        <v>46</v>
      </c>
      <c r="D49" s="9" t="s">
        <v>44</v>
      </c>
      <c r="E49" s="10">
        <v>0.155</v>
      </c>
      <c r="F49" s="10">
        <v>0.255</v>
      </c>
      <c r="G49" s="10">
        <v>0.60499999999999998</v>
      </c>
      <c r="H49" s="10"/>
      <c r="I49" s="11"/>
      <c r="K49" s="12">
        <v>1</v>
      </c>
      <c r="L49" s="12">
        <v>3</v>
      </c>
      <c r="M49" s="9" t="str">
        <f t="shared" si="12"/>
        <v>Egypt</v>
      </c>
      <c r="N49" s="9" t="str">
        <f t="shared" si="20"/>
        <v>fav win</v>
      </c>
      <c r="P49" s="9" t="str">
        <f t="shared" si="22"/>
        <v>New Zeland</v>
      </c>
      <c r="Q49" s="9" t="str">
        <f t="shared" si="23"/>
        <v>Egypt</v>
      </c>
      <c r="S49" s="9">
        <f t="shared" si="24"/>
        <v>0</v>
      </c>
      <c r="T49" s="10">
        <f t="shared" si="25"/>
        <v>0.155</v>
      </c>
      <c r="U49" s="10">
        <f t="shared" si="4"/>
        <v>0</v>
      </c>
      <c r="W49" s="9">
        <f t="shared" si="13"/>
        <v>1</v>
      </c>
      <c r="X49" s="10">
        <f t="shared" si="26"/>
        <v>0.60499999999999998</v>
      </c>
      <c r="Y49" s="10">
        <f t="shared" si="6"/>
        <v>1.6528925619834711</v>
      </c>
      <c r="AA49" s="9">
        <f t="shared" si="14"/>
        <v>0</v>
      </c>
      <c r="AB49" s="10">
        <f t="shared" si="15"/>
        <v>0.255</v>
      </c>
      <c r="AC49" s="10">
        <f t="shared" si="16"/>
        <v>0</v>
      </c>
      <c r="AE49" s="9">
        <f t="shared" si="7"/>
        <v>0</v>
      </c>
      <c r="AF49" s="10">
        <f t="shared" si="17"/>
        <v>0.39500000000000002</v>
      </c>
      <c r="AG49" s="10">
        <f t="shared" si="18"/>
        <v>0</v>
      </c>
      <c r="AJ49" s="9">
        <f t="shared" si="21"/>
        <v>1</v>
      </c>
      <c r="AK49" s="10">
        <f t="shared" si="19"/>
        <v>0.84499999999999997</v>
      </c>
      <c r="AL49" s="10">
        <f t="shared" si="11"/>
        <v>1.1834319526627219</v>
      </c>
    </row>
    <row r="50" spans="2:38" s="9" customFormat="1" x14ac:dyDescent="0.25">
      <c r="B50" s="8">
        <v>46195</v>
      </c>
      <c r="C50" s="9" t="s">
        <v>58</v>
      </c>
      <c r="D50" s="9" t="s">
        <v>56</v>
      </c>
      <c r="E50" s="10">
        <v>0.625</v>
      </c>
      <c r="F50" s="10">
        <v>0.255</v>
      </c>
      <c r="G50" s="10">
        <v>0.115</v>
      </c>
      <c r="H50" s="10"/>
      <c r="I50" s="11"/>
      <c r="K50" s="12">
        <v>2</v>
      </c>
      <c r="L50" s="12">
        <v>0</v>
      </c>
      <c r="M50" s="9" t="str">
        <f t="shared" si="12"/>
        <v>Argentina</v>
      </c>
      <c r="N50" s="9" t="str">
        <f t="shared" si="20"/>
        <v>fav win</v>
      </c>
      <c r="P50" s="9" t="str">
        <f t="shared" si="22"/>
        <v>Austria</v>
      </c>
      <c r="Q50" s="9" t="str">
        <f t="shared" si="23"/>
        <v>Argentina</v>
      </c>
      <c r="S50" s="9">
        <f t="shared" si="24"/>
        <v>0</v>
      </c>
      <c r="T50" s="10">
        <f t="shared" si="25"/>
        <v>0.115</v>
      </c>
      <c r="U50" s="10">
        <f t="shared" si="4"/>
        <v>0</v>
      </c>
      <c r="W50" s="9">
        <f t="shared" si="13"/>
        <v>1</v>
      </c>
      <c r="X50" s="10">
        <f t="shared" si="26"/>
        <v>0.625</v>
      </c>
      <c r="Y50" s="10">
        <f t="shared" si="6"/>
        <v>1.6</v>
      </c>
      <c r="AA50" s="9">
        <f t="shared" si="14"/>
        <v>0</v>
      </c>
      <c r="AB50" s="10">
        <f t="shared" si="15"/>
        <v>0.255</v>
      </c>
      <c r="AC50" s="10">
        <f t="shared" si="16"/>
        <v>0</v>
      </c>
      <c r="AE50" s="9">
        <f t="shared" si="7"/>
        <v>0</v>
      </c>
      <c r="AF50" s="10">
        <f t="shared" si="17"/>
        <v>0.375</v>
      </c>
      <c r="AG50" s="10">
        <f t="shared" si="18"/>
        <v>0</v>
      </c>
      <c r="AJ50" s="9">
        <f t="shared" si="21"/>
        <v>1</v>
      </c>
      <c r="AK50" s="10">
        <f t="shared" si="19"/>
        <v>0.88500000000000001</v>
      </c>
      <c r="AL50" s="10">
        <f t="shared" si="11"/>
        <v>1.1299435028248588</v>
      </c>
    </row>
    <row r="51" spans="2:38" s="9" customFormat="1" x14ac:dyDescent="0.25">
      <c r="B51" s="8">
        <v>46195</v>
      </c>
      <c r="C51" s="9" t="s">
        <v>37</v>
      </c>
      <c r="D51" s="9" t="s">
        <v>39</v>
      </c>
      <c r="E51" s="10">
        <v>0.91500000000000004</v>
      </c>
      <c r="F51" s="10">
        <v>6.5000000000000002E-2</v>
      </c>
      <c r="G51" s="10">
        <v>2.1000000000000001E-2</v>
      </c>
      <c r="H51" s="10"/>
      <c r="I51" s="11"/>
      <c r="K51" s="12">
        <v>3</v>
      </c>
      <c r="L51" s="12">
        <v>0</v>
      </c>
      <c r="M51" s="9" t="str">
        <f t="shared" si="12"/>
        <v>France</v>
      </c>
      <c r="N51" s="9" t="str">
        <f t="shared" si="20"/>
        <v>fav win</v>
      </c>
      <c r="P51" s="9" t="str">
        <f t="shared" si="22"/>
        <v>Iraq</v>
      </c>
      <c r="Q51" s="9" t="str">
        <f t="shared" si="23"/>
        <v>France</v>
      </c>
      <c r="S51" s="9">
        <f t="shared" si="24"/>
        <v>0</v>
      </c>
      <c r="T51" s="10">
        <f t="shared" si="25"/>
        <v>2.1000000000000001E-2</v>
      </c>
      <c r="U51" s="10">
        <f t="shared" si="4"/>
        <v>0</v>
      </c>
      <c r="W51" s="9">
        <f t="shared" si="13"/>
        <v>1</v>
      </c>
      <c r="X51" s="10">
        <f t="shared" si="26"/>
        <v>0.91500000000000004</v>
      </c>
      <c r="Y51" s="10">
        <f t="shared" si="6"/>
        <v>1.0928961748633879</v>
      </c>
      <c r="AA51" s="9">
        <f t="shared" si="14"/>
        <v>0</v>
      </c>
      <c r="AB51" s="10">
        <f t="shared" si="15"/>
        <v>6.5000000000000002E-2</v>
      </c>
      <c r="AC51" s="10">
        <f t="shared" si="16"/>
        <v>0</v>
      </c>
      <c r="AE51" s="9">
        <f t="shared" si="7"/>
        <v>0</v>
      </c>
      <c r="AF51" s="10">
        <f t="shared" si="17"/>
        <v>8.4999999999999964E-2</v>
      </c>
      <c r="AG51" s="10">
        <f t="shared" si="18"/>
        <v>0</v>
      </c>
      <c r="AJ51" s="9">
        <f t="shared" si="21"/>
        <v>1</v>
      </c>
      <c r="AK51" s="10">
        <f t="shared" si="19"/>
        <v>0.97899999999999998</v>
      </c>
      <c r="AL51" s="10">
        <f t="shared" si="11"/>
        <v>1.0214504596527068</v>
      </c>
    </row>
    <row r="52" spans="2:38" s="9" customFormat="1" x14ac:dyDescent="0.25">
      <c r="B52" s="8">
        <v>46195</v>
      </c>
      <c r="C52" s="9" t="s">
        <v>36</v>
      </c>
      <c r="D52" s="9" t="s">
        <v>38</v>
      </c>
      <c r="E52" s="10">
        <v>0.38500000000000001</v>
      </c>
      <c r="F52" s="10">
        <v>0.33500000000000002</v>
      </c>
      <c r="G52" s="10">
        <v>0.29499999999999998</v>
      </c>
      <c r="H52" s="10"/>
      <c r="I52" s="11"/>
      <c r="K52" s="12">
        <v>3</v>
      </c>
      <c r="L52" s="12">
        <v>2</v>
      </c>
      <c r="M52" s="9" t="str">
        <f t="shared" si="12"/>
        <v>Norway</v>
      </c>
      <c r="N52" s="9" t="str">
        <f t="shared" si="20"/>
        <v>fav win</v>
      </c>
      <c r="P52" s="9" t="str">
        <f t="shared" si="22"/>
        <v>Senegal</v>
      </c>
      <c r="Q52" s="9" t="str">
        <f t="shared" si="23"/>
        <v>Norway</v>
      </c>
      <c r="S52" s="9">
        <f t="shared" si="24"/>
        <v>0</v>
      </c>
      <c r="T52" s="10">
        <f t="shared" si="25"/>
        <v>0.29499999999999998</v>
      </c>
      <c r="U52" s="10">
        <f t="shared" si="4"/>
        <v>0</v>
      </c>
      <c r="W52" s="9">
        <f t="shared" si="13"/>
        <v>1</v>
      </c>
      <c r="X52" s="10">
        <f t="shared" si="26"/>
        <v>0.38500000000000001</v>
      </c>
      <c r="Y52" s="10">
        <f t="shared" si="6"/>
        <v>2.5974025974025974</v>
      </c>
      <c r="AA52" s="9">
        <f t="shared" si="14"/>
        <v>0</v>
      </c>
      <c r="AB52" s="10">
        <f t="shared" si="15"/>
        <v>0.33500000000000002</v>
      </c>
      <c r="AC52" s="10">
        <f t="shared" si="16"/>
        <v>0</v>
      </c>
      <c r="AE52" s="9">
        <f t="shared" si="7"/>
        <v>0</v>
      </c>
      <c r="AF52" s="10">
        <f t="shared" si="17"/>
        <v>0.61499999999999999</v>
      </c>
      <c r="AG52" s="10">
        <f t="shared" si="18"/>
        <v>0</v>
      </c>
      <c r="AJ52" s="9">
        <f t="shared" si="21"/>
        <v>1</v>
      </c>
      <c r="AK52" s="10">
        <f t="shared" si="19"/>
        <v>0.70500000000000007</v>
      </c>
      <c r="AL52" s="10">
        <f t="shared" si="11"/>
        <v>1.4184397163120566</v>
      </c>
    </row>
    <row r="53" spans="2:38" s="9" customFormat="1" x14ac:dyDescent="0.25">
      <c r="B53" s="8">
        <v>46195</v>
      </c>
      <c r="C53" s="9" t="s">
        <v>57</v>
      </c>
      <c r="D53" s="9" t="s">
        <v>55</v>
      </c>
      <c r="E53" s="10">
        <v>0.13500000000000001</v>
      </c>
      <c r="F53" s="10">
        <v>0.22500000000000001</v>
      </c>
      <c r="G53" s="10">
        <v>0.64500000000000002</v>
      </c>
      <c r="H53" s="10"/>
      <c r="I53" s="11"/>
      <c r="K53" s="12">
        <v>1</v>
      </c>
      <c r="L53" s="12">
        <v>2</v>
      </c>
      <c r="M53" s="9" t="str">
        <f t="shared" si="12"/>
        <v>Algeria</v>
      </c>
      <c r="N53" s="9" t="str">
        <f t="shared" si="20"/>
        <v>fav win</v>
      </c>
      <c r="P53" s="9" t="str">
        <f t="shared" si="22"/>
        <v>Jordan</v>
      </c>
      <c r="Q53" s="9" t="str">
        <f t="shared" si="23"/>
        <v>Algeria</v>
      </c>
      <c r="S53" s="9">
        <f t="shared" si="24"/>
        <v>0</v>
      </c>
      <c r="T53" s="10">
        <f t="shared" si="25"/>
        <v>0.13500000000000001</v>
      </c>
      <c r="U53" s="10">
        <f t="shared" si="4"/>
        <v>0</v>
      </c>
      <c r="W53" s="9">
        <f t="shared" si="13"/>
        <v>1</v>
      </c>
      <c r="X53" s="10">
        <f t="shared" si="26"/>
        <v>0.64500000000000002</v>
      </c>
      <c r="Y53" s="10">
        <f t="shared" si="6"/>
        <v>1.5503875968992247</v>
      </c>
      <c r="AA53" s="9">
        <f t="shared" si="14"/>
        <v>0</v>
      </c>
      <c r="AB53" s="10">
        <f t="shared" si="15"/>
        <v>0.22500000000000001</v>
      </c>
      <c r="AC53" s="10">
        <f t="shared" si="16"/>
        <v>0</v>
      </c>
      <c r="AE53" s="9">
        <f t="shared" si="7"/>
        <v>0</v>
      </c>
      <c r="AF53" s="10">
        <f t="shared" si="17"/>
        <v>0.35499999999999998</v>
      </c>
      <c r="AG53" s="10">
        <f t="shared" si="18"/>
        <v>0</v>
      </c>
      <c r="AJ53" s="9">
        <f t="shared" si="21"/>
        <v>1</v>
      </c>
      <c r="AK53" s="10">
        <f t="shared" si="19"/>
        <v>0.86499999999999999</v>
      </c>
      <c r="AL53" s="10">
        <f t="shared" si="11"/>
        <v>1.1560693641618498</v>
      </c>
    </row>
    <row r="54" spans="2:38" s="9" customFormat="1" x14ac:dyDescent="0.25">
      <c r="B54" s="8">
        <v>46196</v>
      </c>
      <c r="C54" s="9" t="s">
        <v>61</v>
      </c>
      <c r="D54" s="9" t="s">
        <v>54</v>
      </c>
      <c r="E54" s="10">
        <v>0.86499999999999999</v>
      </c>
      <c r="F54" s="10">
        <v>0.105</v>
      </c>
      <c r="G54" s="10">
        <v>3.5000000000000003E-2</v>
      </c>
      <c r="H54" s="10"/>
      <c r="I54" s="11"/>
      <c r="K54" s="12">
        <v>5</v>
      </c>
      <c r="L54" s="12">
        <v>0</v>
      </c>
      <c r="M54" s="9" t="str">
        <f t="shared" si="12"/>
        <v>Portugalia</v>
      </c>
      <c r="N54" s="9" t="str">
        <f t="shared" si="20"/>
        <v>fav win</v>
      </c>
      <c r="P54" s="9" t="str">
        <f t="shared" si="22"/>
        <v>Uzbekistan</v>
      </c>
      <c r="Q54" s="9" t="str">
        <f t="shared" si="23"/>
        <v>Portugalia</v>
      </c>
      <c r="S54" s="9">
        <f t="shared" si="24"/>
        <v>0</v>
      </c>
      <c r="T54" s="10">
        <f t="shared" si="25"/>
        <v>3.5000000000000003E-2</v>
      </c>
      <c r="U54" s="10">
        <f t="shared" si="4"/>
        <v>0</v>
      </c>
      <c r="W54" s="9">
        <f t="shared" si="13"/>
        <v>1</v>
      </c>
      <c r="X54" s="10">
        <f t="shared" si="26"/>
        <v>0.86499999999999999</v>
      </c>
      <c r="Y54" s="10">
        <f t="shared" si="6"/>
        <v>1.1560693641618498</v>
      </c>
      <c r="AA54" s="9">
        <f t="shared" si="14"/>
        <v>0</v>
      </c>
      <c r="AB54" s="10">
        <f t="shared" si="15"/>
        <v>0.105</v>
      </c>
      <c r="AC54" s="10">
        <f t="shared" si="16"/>
        <v>0</v>
      </c>
      <c r="AE54" s="9">
        <f t="shared" si="7"/>
        <v>0</v>
      </c>
      <c r="AF54" s="10">
        <f t="shared" si="17"/>
        <v>0.13500000000000001</v>
      </c>
      <c r="AG54" s="10">
        <f t="shared" si="18"/>
        <v>0</v>
      </c>
      <c r="AJ54" s="9">
        <f t="shared" si="21"/>
        <v>1</v>
      </c>
      <c r="AK54" s="10">
        <f t="shared" si="19"/>
        <v>0.96499999999999997</v>
      </c>
      <c r="AL54" s="10">
        <f t="shared" si="11"/>
        <v>1.0362694300518136</v>
      </c>
    </row>
    <row r="55" spans="2:38" s="9" customFormat="1" x14ac:dyDescent="0.25">
      <c r="B55" s="8">
        <v>46196</v>
      </c>
      <c r="C55" s="9" t="s">
        <v>51</v>
      </c>
      <c r="D55" s="9" t="s">
        <v>49</v>
      </c>
      <c r="E55" s="10">
        <v>0.67500000000000004</v>
      </c>
      <c r="F55" s="10">
        <v>0.26500000000000001</v>
      </c>
      <c r="G55" s="10">
        <v>6.5000000000000002E-2</v>
      </c>
      <c r="H55" s="10"/>
      <c r="I55" s="11"/>
      <c r="K55" s="12">
        <v>0</v>
      </c>
      <c r="L55" s="12">
        <v>0</v>
      </c>
      <c r="M55" s="9" t="str">
        <f t="shared" si="12"/>
        <v>draw</v>
      </c>
      <c r="N55" s="9" t="str">
        <f t="shared" si="20"/>
        <v>draw</v>
      </c>
      <c r="P55" s="9" t="str">
        <f t="shared" si="22"/>
        <v>Ghana</v>
      </c>
      <c r="Q55" s="9" t="str">
        <f t="shared" si="23"/>
        <v>England</v>
      </c>
      <c r="S55" s="9">
        <f t="shared" si="24"/>
        <v>0</v>
      </c>
      <c r="T55" s="10">
        <f t="shared" si="25"/>
        <v>6.5000000000000002E-2</v>
      </c>
      <c r="U55" s="10">
        <f t="shared" si="4"/>
        <v>0</v>
      </c>
      <c r="W55" s="9">
        <f t="shared" si="13"/>
        <v>0</v>
      </c>
      <c r="X55" s="10">
        <f t="shared" si="26"/>
        <v>0.67500000000000004</v>
      </c>
      <c r="Y55" s="10">
        <f t="shared" si="6"/>
        <v>0</v>
      </c>
      <c r="AA55" s="9">
        <f t="shared" si="14"/>
        <v>1</v>
      </c>
      <c r="AB55" s="10">
        <f t="shared" si="15"/>
        <v>0.26500000000000001</v>
      </c>
      <c r="AC55" s="10">
        <f t="shared" si="16"/>
        <v>3.773584905660377</v>
      </c>
      <c r="AE55" s="9">
        <f t="shared" si="7"/>
        <v>1</v>
      </c>
      <c r="AF55" s="10">
        <f t="shared" si="17"/>
        <v>0.32499999999999996</v>
      </c>
      <c r="AG55" s="10">
        <f t="shared" si="18"/>
        <v>3.0769230769230775</v>
      </c>
      <c r="AJ55" s="9">
        <f t="shared" si="21"/>
        <v>0</v>
      </c>
      <c r="AK55" s="10">
        <f t="shared" si="19"/>
        <v>0.93500000000000005</v>
      </c>
      <c r="AL55" s="10">
        <f t="shared" si="11"/>
        <v>0</v>
      </c>
    </row>
    <row r="56" spans="2:38" s="9" customFormat="1" x14ac:dyDescent="0.25">
      <c r="B56" s="8">
        <v>46196</v>
      </c>
      <c r="C56" s="9" t="s">
        <v>50</v>
      </c>
      <c r="D56" s="9" t="s">
        <v>48</v>
      </c>
      <c r="E56" s="10">
        <v>0.16500000000000001</v>
      </c>
      <c r="F56" s="10">
        <v>0.32500000000000001</v>
      </c>
      <c r="G56" s="10">
        <v>0.505</v>
      </c>
      <c r="H56" s="10"/>
      <c r="I56" s="11"/>
      <c r="K56" s="12">
        <v>0</v>
      </c>
      <c r="L56" s="12">
        <v>1</v>
      </c>
      <c r="M56" s="9" t="str">
        <f t="shared" si="12"/>
        <v>Croatia</v>
      </c>
      <c r="N56" s="9" t="str">
        <f t="shared" si="20"/>
        <v>fav win</v>
      </c>
      <c r="P56" s="9" t="str">
        <f t="shared" si="22"/>
        <v>Panama</v>
      </c>
      <c r="Q56" s="9" t="str">
        <f t="shared" si="23"/>
        <v>Croatia</v>
      </c>
      <c r="S56" s="9">
        <f t="shared" si="24"/>
        <v>0</v>
      </c>
      <c r="T56" s="10">
        <f t="shared" si="25"/>
        <v>0.16500000000000001</v>
      </c>
      <c r="U56" s="10">
        <f t="shared" si="4"/>
        <v>0</v>
      </c>
      <c r="W56" s="9">
        <f t="shared" si="13"/>
        <v>1</v>
      </c>
      <c r="X56" s="10">
        <f t="shared" si="26"/>
        <v>0.505</v>
      </c>
      <c r="Y56" s="10">
        <f t="shared" si="6"/>
        <v>1.9801980198019802</v>
      </c>
      <c r="AA56" s="9">
        <f t="shared" si="14"/>
        <v>0</v>
      </c>
      <c r="AB56" s="10">
        <f t="shared" si="15"/>
        <v>0.32500000000000001</v>
      </c>
      <c r="AC56" s="10">
        <f t="shared" si="16"/>
        <v>0</v>
      </c>
      <c r="AE56" s="9">
        <f t="shared" si="7"/>
        <v>0</v>
      </c>
      <c r="AF56" s="10">
        <f t="shared" si="17"/>
        <v>0.495</v>
      </c>
      <c r="AG56" s="10">
        <f t="shared" si="18"/>
        <v>0</v>
      </c>
      <c r="AJ56" s="9">
        <f t="shared" si="21"/>
        <v>1</v>
      </c>
      <c r="AK56" s="10">
        <f t="shared" si="19"/>
        <v>0.83499999999999996</v>
      </c>
      <c r="AL56" s="10">
        <f t="shared" si="11"/>
        <v>1.1976047904191618</v>
      </c>
    </row>
    <row r="57" spans="2:38" s="9" customFormat="1" x14ac:dyDescent="0.25">
      <c r="B57" s="8">
        <v>46196</v>
      </c>
      <c r="C57" s="9" t="s">
        <v>52</v>
      </c>
      <c r="D57" s="9" t="s">
        <v>62</v>
      </c>
      <c r="E57" s="10">
        <v>0.63500000000000001</v>
      </c>
      <c r="F57" s="10">
        <v>0.23499999999999999</v>
      </c>
      <c r="G57" s="10">
        <v>0.13500000000000001</v>
      </c>
      <c r="H57" s="10"/>
      <c r="I57" s="11"/>
      <c r="K57" s="12">
        <v>1</v>
      </c>
      <c r="L57" s="12">
        <v>0</v>
      </c>
      <c r="M57" s="9" t="str">
        <f t="shared" si="12"/>
        <v>Colombia</v>
      </c>
      <c r="N57" s="9" t="str">
        <f t="shared" si="20"/>
        <v>fav win</v>
      </c>
      <c r="P57" s="9" t="str">
        <f t="shared" si="22"/>
        <v>DRC</v>
      </c>
      <c r="Q57" s="9" t="str">
        <f t="shared" si="23"/>
        <v>Colombia</v>
      </c>
      <c r="S57" s="9">
        <f t="shared" si="24"/>
        <v>0</v>
      </c>
      <c r="T57" s="10">
        <f t="shared" si="25"/>
        <v>0.13500000000000001</v>
      </c>
      <c r="U57" s="10">
        <f t="shared" si="4"/>
        <v>0</v>
      </c>
      <c r="W57" s="9">
        <f t="shared" si="13"/>
        <v>1</v>
      </c>
      <c r="X57" s="10">
        <f t="shared" si="26"/>
        <v>0.63500000000000001</v>
      </c>
      <c r="Y57" s="10">
        <f t="shared" si="6"/>
        <v>1.5748031496062991</v>
      </c>
      <c r="AA57" s="9">
        <f t="shared" si="14"/>
        <v>0</v>
      </c>
      <c r="AB57" s="10">
        <f t="shared" si="15"/>
        <v>0.23499999999999999</v>
      </c>
      <c r="AC57" s="10">
        <f t="shared" si="16"/>
        <v>0</v>
      </c>
      <c r="AE57" s="9">
        <f t="shared" si="7"/>
        <v>0</v>
      </c>
      <c r="AF57" s="10">
        <f t="shared" si="17"/>
        <v>0.36499999999999999</v>
      </c>
      <c r="AG57" s="10">
        <f t="shared" si="18"/>
        <v>0</v>
      </c>
      <c r="AJ57" s="9">
        <f t="shared" si="21"/>
        <v>1</v>
      </c>
      <c r="AK57" s="10">
        <f t="shared" si="19"/>
        <v>0.86499999999999999</v>
      </c>
      <c r="AL57" s="10">
        <f t="shared" si="11"/>
        <v>1.1560693641618498</v>
      </c>
    </row>
    <row r="58" spans="2:38" s="9" customFormat="1" x14ac:dyDescent="0.25">
      <c r="B58" s="8">
        <v>46197</v>
      </c>
      <c r="C58" s="9" t="s">
        <v>5</v>
      </c>
      <c r="D58" s="9" t="s">
        <v>16</v>
      </c>
      <c r="E58" s="10">
        <v>0.84</v>
      </c>
      <c r="F58" s="10">
        <v>0.15</v>
      </c>
      <c r="G58" s="10">
        <v>0.08</v>
      </c>
      <c r="H58" s="10"/>
      <c r="I58" s="11"/>
      <c r="K58" s="12">
        <v>2</v>
      </c>
      <c r="L58" s="12">
        <v>1</v>
      </c>
      <c r="M58" s="9" t="str">
        <f t="shared" si="12"/>
        <v>Canada</v>
      </c>
      <c r="N58" s="9" t="str">
        <f t="shared" si="20"/>
        <v>fav win</v>
      </c>
      <c r="P58" s="9" t="str">
        <f t="shared" si="22"/>
        <v>Switzerland</v>
      </c>
      <c r="Q58" s="9" t="str">
        <f t="shared" si="23"/>
        <v>Canada</v>
      </c>
      <c r="S58" s="9">
        <f t="shared" si="24"/>
        <v>0</v>
      </c>
      <c r="T58" s="10">
        <f t="shared" si="25"/>
        <v>0.08</v>
      </c>
      <c r="U58" s="10">
        <f t="shared" si="4"/>
        <v>0</v>
      </c>
      <c r="W58" s="9">
        <f t="shared" si="13"/>
        <v>1</v>
      </c>
      <c r="X58" s="10">
        <f t="shared" si="26"/>
        <v>0.84</v>
      </c>
      <c r="Y58" s="10">
        <f t="shared" si="6"/>
        <v>1.1904761904761905</v>
      </c>
      <c r="AA58" s="9">
        <f t="shared" si="14"/>
        <v>0</v>
      </c>
      <c r="AB58" s="10">
        <f t="shared" si="15"/>
        <v>0.15</v>
      </c>
      <c r="AC58" s="10">
        <f t="shared" si="16"/>
        <v>0</v>
      </c>
      <c r="AE58" s="9">
        <f t="shared" si="7"/>
        <v>0</v>
      </c>
      <c r="AF58" s="10">
        <f t="shared" si="17"/>
        <v>0.16000000000000003</v>
      </c>
      <c r="AG58" s="10">
        <f t="shared" si="18"/>
        <v>0</v>
      </c>
      <c r="AJ58" s="9">
        <f t="shared" si="21"/>
        <v>1</v>
      </c>
      <c r="AK58" s="10">
        <f t="shared" si="19"/>
        <v>0.92</v>
      </c>
      <c r="AL58" s="10">
        <f t="shared" si="11"/>
        <v>1.0869565217391304</v>
      </c>
    </row>
    <row r="59" spans="2:38" s="9" customFormat="1" x14ac:dyDescent="0.25">
      <c r="B59" s="8">
        <v>46197</v>
      </c>
      <c r="C59" s="9" t="s">
        <v>15</v>
      </c>
      <c r="D59" s="9" t="s">
        <v>6</v>
      </c>
      <c r="E59" s="10">
        <v>0.01</v>
      </c>
      <c r="F59" s="10">
        <v>8.0000000000000002E-3</v>
      </c>
      <c r="G59" s="10">
        <v>0.99399999999999999</v>
      </c>
      <c r="H59" s="10"/>
      <c r="I59" s="11"/>
      <c r="K59" s="12">
        <v>1</v>
      </c>
      <c r="L59" s="12">
        <v>3</v>
      </c>
      <c r="M59" s="9" t="str">
        <f t="shared" si="12"/>
        <v>Bosnia-Herzegovina</v>
      </c>
      <c r="N59" s="9" t="str">
        <f t="shared" si="20"/>
        <v>fav win</v>
      </c>
      <c r="P59" s="9" t="str">
        <f t="shared" si="22"/>
        <v>Qatar</v>
      </c>
      <c r="Q59" s="9" t="str">
        <f t="shared" si="23"/>
        <v>Bosnia-Herzegovina</v>
      </c>
      <c r="S59" s="9">
        <f t="shared" si="24"/>
        <v>0</v>
      </c>
      <c r="T59" s="10">
        <f t="shared" si="25"/>
        <v>0.01</v>
      </c>
      <c r="U59" s="10">
        <f t="shared" si="4"/>
        <v>0</v>
      </c>
      <c r="W59" s="9">
        <f t="shared" si="13"/>
        <v>1</v>
      </c>
      <c r="X59" s="10">
        <f t="shared" si="26"/>
        <v>0.99399999999999999</v>
      </c>
      <c r="Y59" s="10">
        <f t="shared" si="6"/>
        <v>1.0060362173038229</v>
      </c>
      <c r="AA59" s="9">
        <f t="shared" si="14"/>
        <v>0</v>
      </c>
      <c r="AB59" s="10">
        <f t="shared" si="15"/>
        <v>8.0000000000000002E-3</v>
      </c>
      <c r="AC59" s="10">
        <f t="shared" si="16"/>
        <v>0</v>
      </c>
      <c r="AE59" s="9">
        <f t="shared" si="7"/>
        <v>0</v>
      </c>
      <c r="AF59" s="10">
        <f t="shared" si="17"/>
        <v>6.0000000000000053E-3</v>
      </c>
      <c r="AG59" s="10">
        <f t="shared" si="18"/>
        <v>0</v>
      </c>
      <c r="AJ59" s="9">
        <f t="shared" si="21"/>
        <v>1</v>
      </c>
      <c r="AK59" s="10">
        <f t="shared" si="19"/>
        <v>0.99</v>
      </c>
      <c r="AL59" s="10">
        <f t="shared" si="11"/>
        <v>1.0101010101010102</v>
      </c>
    </row>
    <row r="60" spans="2:38" s="9" customFormat="1" x14ac:dyDescent="0.25">
      <c r="B60" s="8">
        <v>46197</v>
      </c>
      <c r="C60" s="9" t="s">
        <v>17</v>
      </c>
      <c r="D60" s="9" t="s">
        <v>20</v>
      </c>
      <c r="E60" s="10">
        <v>0.75</v>
      </c>
      <c r="F60" s="10">
        <v>0.17</v>
      </c>
      <c r="G60" s="10">
        <v>0.09</v>
      </c>
      <c r="H60" s="10"/>
      <c r="I60" s="11">
        <v>1</v>
      </c>
      <c r="J60" s="9" t="s">
        <v>17</v>
      </c>
      <c r="K60" s="12">
        <v>3</v>
      </c>
      <c r="L60" s="12">
        <v>0</v>
      </c>
      <c r="M60" s="9" t="str">
        <f t="shared" si="12"/>
        <v>Brazil</v>
      </c>
      <c r="N60" s="9" t="str">
        <f t="shared" si="20"/>
        <v>fav win</v>
      </c>
      <c r="P60" s="9" t="str">
        <f t="shared" si="22"/>
        <v>Scotland</v>
      </c>
      <c r="Q60" s="9" t="str">
        <f t="shared" ref="Q60:Q82" si="27">+IF(P60=C60,D60,C60)</f>
        <v>Brazil</v>
      </c>
      <c r="S60" s="9">
        <f t="shared" si="24"/>
        <v>0</v>
      </c>
      <c r="T60" s="10">
        <f t="shared" ref="T60:T61" si="28">+IF(P60=C60,E60,G60)</f>
        <v>0.09</v>
      </c>
      <c r="U60" s="10">
        <f t="shared" ref="U60:U61" si="29">1/T60*S60</f>
        <v>0</v>
      </c>
      <c r="W60" s="9">
        <f t="shared" si="13"/>
        <v>1</v>
      </c>
      <c r="X60" s="10">
        <f t="shared" ref="X60:X61" si="30">+IF(P60=C60,G60,E60)</f>
        <v>0.75</v>
      </c>
      <c r="Y60" s="10">
        <f t="shared" ref="Y60:Y61" si="31">1/X60*W60</f>
        <v>1.3333333333333333</v>
      </c>
      <c r="AA60" s="9">
        <f t="shared" si="14"/>
        <v>0</v>
      </c>
      <c r="AB60" s="10">
        <f t="shared" ref="AB60:AB61" si="32">+F60</f>
        <v>0.17</v>
      </c>
      <c r="AC60" s="10">
        <f t="shared" ref="AC60:AC61" si="33">1/AB60*AA60</f>
        <v>0</v>
      </c>
      <c r="AE60" s="9">
        <f>+IF(Q60=M60,0,1)</f>
        <v>0</v>
      </c>
      <c r="AF60" s="10">
        <f t="shared" ref="AF60:AF61" si="34">1-IF(C60=Q60,E60,G60)</f>
        <v>0.25</v>
      </c>
      <c r="AG60" s="10">
        <f t="shared" ref="AG60:AG61" si="35">1/AF60*AE60</f>
        <v>0</v>
      </c>
      <c r="AJ60" s="9">
        <f t="shared" si="21"/>
        <v>1</v>
      </c>
      <c r="AK60" s="10">
        <f t="shared" si="19"/>
        <v>0.91</v>
      </c>
      <c r="AL60" s="10">
        <f t="shared" si="11"/>
        <v>1.0989010989010988</v>
      </c>
    </row>
    <row r="61" spans="2:38" s="9" customFormat="1" x14ac:dyDescent="0.25">
      <c r="B61" s="8">
        <v>46197</v>
      </c>
      <c r="C61" s="9" t="s">
        <v>19</v>
      </c>
      <c r="D61" s="9" t="s">
        <v>18</v>
      </c>
      <c r="E61" s="10">
        <v>0.06</v>
      </c>
      <c r="F61" s="10">
        <v>0.13</v>
      </c>
      <c r="G61" s="10">
        <v>0.83</v>
      </c>
      <c r="H61" s="10"/>
      <c r="I61" s="11">
        <v>1</v>
      </c>
      <c r="J61" s="9" t="s">
        <v>18</v>
      </c>
      <c r="K61" s="12">
        <v>2</v>
      </c>
      <c r="L61" s="12">
        <v>4</v>
      </c>
      <c r="M61" s="9" t="str">
        <f t="shared" si="12"/>
        <v>Morocco</v>
      </c>
      <c r="N61" s="9" t="str">
        <f t="shared" si="20"/>
        <v>fav win</v>
      </c>
      <c r="P61" s="9" t="str">
        <f t="shared" si="22"/>
        <v>Haiti</v>
      </c>
      <c r="Q61" s="9" t="str">
        <f t="shared" si="27"/>
        <v>Morocco</v>
      </c>
      <c r="S61" s="9">
        <f t="shared" si="24"/>
        <v>0</v>
      </c>
      <c r="T61" s="10">
        <f t="shared" si="28"/>
        <v>0.06</v>
      </c>
      <c r="U61" s="10">
        <f t="shared" si="29"/>
        <v>0</v>
      </c>
      <c r="W61" s="9">
        <f t="shared" si="13"/>
        <v>1</v>
      </c>
      <c r="X61" s="10">
        <f t="shared" si="30"/>
        <v>0.83</v>
      </c>
      <c r="Y61" s="10">
        <f t="shared" si="31"/>
        <v>1.2048192771084338</v>
      </c>
      <c r="AA61" s="9">
        <f t="shared" si="14"/>
        <v>0</v>
      </c>
      <c r="AB61" s="10">
        <f t="shared" si="32"/>
        <v>0.13</v>
      </c>
      <c r="AC61" s="10">
        <f t="shared" si="33"/>
        <v>0</v>
      </c>
      <c r="AE61" s="9">
        <f>+IF(Q61=M61,0,1)</f>
        <v>0</v>
      </c>
      <c r="AF61" s="10">
        <f t="shared" si="34"/>
        <v>0.17000000000000004</v>
      </c>
      <c r="AG61" s="10">
        <f t="shared" si="35"/>
        <v>0</v>
      </c>
      <c r="AJ61" s="9">
        <f t="shared" si="21"/>
        <v>1</v>
      </c>
      <c r="AK61" s="10">
        <f t="shared" si="19"/>
        <v>0.94</v>
      </c>
      <c r="AL61" s="10">
        <f t="shared" si="11"/>
        <v>1.0638297872340425</v>
      </c>
    </row>
    <row r="62" spans="2:38" s="9" customFormat="1" x14ac:dyDescent="0.25">
      <c r="B62" s="8">
        <v>46197</v>
      </c>
      <c r="C62" s="9" t="s">
        <v>31</v>
      </c>
      <c r="D62" s="9" t="s">
        <v>32</v>
      </c>
      <c r="E62" s="10">
        <v>0.26</v>
      </c>
      <c r="F62" s="10">
        <v>0.25</v>
      </c>
      <c r="G62" s="10">
        <v>0.51</v>
      </c>
      <c r="H62" s="10"/>
      <c r="I62" s="11"/>
      <c r="K62" s="12">
        <v>0</v>
      </c>
      <c r="L62" s="12">
        <v>3</v>
      </c>
      <c r="M62" s="9" t="str">
        <f t="shared" si="12"/>
        <v>Mexico</v>
      </c>
      <c r="N62" s="9" t="str">
        <f t="shared" si="20"/>
        <v>fav win</v>
      </c>
      <c r="P62" s="9" t="str">
        <f t="shared" si="22"/>
        <v>Czechia</v>
      </c>
      <c r="Q62" s="9" t="str">
        <f t="shared" si="27"/>
        <v>Mexico</v>
      </c>
      <c r="S62" s="9">
        <f t="shared" ref="S62:S69" si="36">+IF(P62=M62,1,0)</f>
        <v>0</v>
      </c>
      <c r="T62" s="10">
        <f t="shared" ref="T62:T63" si="37">+IF(P62=C62,E62,G62)</f>
        <v>0.26</v>
      </c>
      <c r="U62" s="10">
        <f t="shared" ref="U62:U63" si="38">1/T62*S62</f>
        <v>0</v>
      </c>
      <c r="W62" s="9">
        <f t="shared" si="13"/>
        <v>1</v>
      </c>
      <c r="X62" s="10">
        <f t="shared" ref="X62:X63" si="39">+IF(P62=C62,G62,E62)</f>
        <v>0.51</v>
      </c>
      <c r="Y62" s="10">
        <f t="shared" ref="Y62:Y63" si="40">1/X62*W62</f>
        <v>1.9607843137254901</v>
      </c>
      <c r="AA62" s="9">
        <f t="shared" si="14"/>
        <v>0</v>
      </c>
      <c r="AB62" s="10">
        <f t="shared" ref="AB62:AB63" si="41">+F62</f>
        <v>0.25</v>
      </c>
      <c r="AC62" s="10">
        <f t="shared" ref="AC62:AC63" si="42">1/AB62*AA62</f>
        <v>0</v>
      </c>
      <c r="AE62" s="9">
        <f t="shared" ref="AE62:AE69" si="43">+IF(Q62=M62,0,1)</f>
        <v>0</v>
      </c>
      <c r="AF62" s="10">
        <f t="shared" ref="AF62:AF63" si="44">1-IF(C62=Q62,E62,G62)</f>
        <v>0.49</v>
      </c>
      <c r="AG62" s="10">
        <f t="shared" ref="AG62:AG63" si="45">1/AF62*AE62</f>
        <v>0</v>
      </c>
      <c r="AJ62" s="9">
        <f t="shared" si="21"/>
        <v>1</v>
      </c>
      <c r="AK62" s="10">
        <f t="shared" si="19"/>
        <v>0.74</v>
      </c>
      <c r="AL62" s="10">
        <f t="shared" si="11"/>
        <v>1.3513513513513513</v>
      </c>
    </row>
    <row r="63" spans="2:38" s="9" customFormat="1" x14ac:dyDescent="0.25">
      <c r="B63" s="8">
        <v>46197</v>
      </c>
      <c r="C63" s="9" t="s">
        <v>33</v>
      </c>
      <c r="D63" s="9" t="s">
        <v>34</v>
      </c>
      <c r="E63" s="10">
        <v>0.16</v>
      </c>
      <c r="F63" s="10">
        <v>0.24</v>
      </c>
      <c r="G63" s="10">
        <v>0.62</v>
      </c>
      <c r="H63" s="10"/>
      <c r="I63" s="11"/>
      <c r="K63" s="12">
        <v>1</v>
      </c>
      <c r="L63" s="12">
        <v>0</v>
      </c>
      <c r="M63" s="9" t="str">
        <f t="shared" si="12"/>
        <v>South Africa</v>
      </c>
      <c r="N63" s="9" t="str">
        <f t="shared" si="20"/>
        <v>dog win</v>
      </c>
      <c r="P63" s="9" t="str">
        <f t="shared" si="22"/>
        <v>South Africa</v>
      </c>
      <c r="Q63" s="9" t="str">
        <f t="shared" si="27"/>
        <v>South Korea</v>
      </c>
      <c r="S63" s="9">
        <f t="shared" si="36"/>
        <v>1</v>
      </c>
      <c r="T63" s="10">
        <f t="shared" si="37"/>
        <v>0.16</v>
      </c>
      <c r="U63" s="10">
        <f t="shared" si="38"/>
        <v>6.25</v>
      </c>
      <c r="W63" s="9">
        <f t="shared" si="13"/>
        <v>0</v>
      </c>
      <c r="X63" s="10">
        <f t="shared" si="39"/>
        <v>0.62</v>
      </c>
      <c r="Y63" s="10">
        <f t="shared" si="40"/>
        <v>0</v>
      </c>
      <c r="AA63" s="9">
        <f t="shared" si="14"/>
        <v>0</v>
      </c>
      <c r="AB63" s="10">
        <f t="shared" si="41"/>
        <v>0.24</v>
      </c>
      <c r="AC63" s="10">
        <f t="shared" si="42"/>
        <v>0</v>
      </c>
      <c r="AE63" s="9">
        <f t="shared" si="43"/>
        <v>1</v>
      </c>
      <c r="AF63" s="10">
        <f t="shared" si="44"/>
        <v>0.38</v>
      </c>
      <c r="AG63" s="10">
        <f t="shared" si="45"/>
        <v>2.6315789473684212</v>
      </c>
      <c r="AJ63" s="9">
        <f t="shared" si="21"/>
        <v>0</v>
      </c>
      <c r="AK63" s="10">
        <f t="shared" si="19"/>
        <v>0.84</v>
      </c>
      <c r="AL63" s="10">
        <f t="shared" si="11"/>
        <v>0</v>
      </c>
    </row>
    <row r="64" spans="2:38" s="9" customFormat="1" x14ac:dyDescent="0.25">
      <c r="B64" s="8">
        <v>46198</v>
      </c>
      <c r="C64" s="9" t="s">
        <v>28</v>
      </c>
      <c r="D64" s="9" t="s">
        <v>23</v>
      </c>
      <c r="E64" s="10">
        <v>0.25</v>
      </c>
      <c r="F64" s="10">
        <v>0.23</v>
      </c>
      <c r="G64" s="10">
        <v>0.54</v>
      </c>
      <c r="H64" s="10"/>
      <c r="I64" s="11">
        <v>1</v>
      </c>
      <c r="J64" s="9" t="s">
        <v>23</v>
      </c>
      <c r="K64" s="12">
        <v>2</v>
      </c>
      <c r="L64" s="12">
        <v>1</v>
      </c>
      <c r="M64" s="9" t="str">
        <f t="shared" si="12"/>
        <v>Ecuador</v>
      </c>
      <c r="N64" s="9" t="str">
        <f t="shared" si="20"/>
        <v>dog win</v>
      </c>
      <c r="P64" s="9" t="str">
        <f t="shared" ref="P64:P82" si="46">+IF(G64&lt;E64,D64,C64)</f>
        <v>Ecuador</v>
      </c>
      <c r="Q64" s="9" t="str">
        <f t="shared" si="27"/>
        <v>Germany</v>
      </c>
      <c r="S64" s="9">
        <f t="shared" si="36"/>
        <v>1</v>
      </c>
      <c r="T64" s="10">
        <f t="shared" ref="T64:T69" si="47">+IF(P64=C64,E64,G64)</f>
        <v>0.25</v>
      </c>
      <c r="U64" s="10">
        <f t="shared" ref="U64:U69" si="48">1/T64*S64</f>
        <v>4</v>
      </c>
      <c r="W64" s="9">
        <f t="shared" si="13"/>
        <v>0</v>
      </c>
      <c r="X64" s="10">
        <f t="shared" ref="X64:X69" si="49">+IF(P64=C64,G64,E64)</f>
        <v>0.54</v>
      </c>
      <c r="Y64" s="10">
        <f t="shared" ref="Y64:Y69" si="50">1/X64*W64</f>
        <v>0</v>
      </c>
      <c r="AA64" s="9">
        <f t="shared" si="14"/>
        <v>0</v>
      </c>
      <c r="AB64" s="10">
        <f t="shared" ref="AB64:AB69" si="51">+F64</f>
        <v>0.23</v>
      </c>
      <c r="AC64" s="10">
        <f t="shared" ref="AC64:AC69" si="52">1/AB64*AA64</f>
        <v>0</v>
      </c>
      <c r="AE64" s="9">
        <f t="shared" si="43"/>
        <v>1</v>
      </c>
      <c r="AF64" s="10">
        <f t="shared" ref="AF64:AF69" si="53">1-IF(C64=Q64,E64,G64)</f>
        <v>0.45999999999999996</v>
      </c>
      <c r="AG64" s="10">
        <f t="shared" ref="AG64:AG69" si="54">1/AF64*AE64</f>
        <v>2.1739130434782612</v>
      </c>
      <c r="AJ64" s="9">
        <f t="shared" si="21"/>
        <v>0</v>
      </c>
    </row>
    <row r="65" spans="2:39" s="9" customFormat="1" x14ac:dyDescent="0.25">
      <c r="B65" s="8">
        <v>46198</v>
      </c>
      <c r="C65" s="9" t="s">
        <v>35</v>
      </c>
      <c r="D65" s="9" t="s">
        <v>63</v>
      </c>
      <c r="E65" s="10">
        <v>0.06</v>
      </c>
      <c r="F65" s="10">
        <v>0.12</v>
      </c>
      <c r="G65" s="10">
        <v>0.84</v>
      </c>
      <c r="H65" s="10"/>
      <c r="I65" s="11">
        <v>1</v>
      </c>
      <c r="J65" s="9" t="s">
        <v>63</v>
      </c>
      <c r="K65" s="12">
        <v>0</v>
      </c>
      <c r="L65" s="12">
        <v>2</v>
      </c>
      <c r="M65" s="9" t="str">
        <f t="shared" si="12"/>
        <v>Ivory Coast</v>
      </c>
      <c r="N65" s="9" t="str">
        <f t="shared" si="20"/>
        <v>fav win</v>
      </c>
      <c r="P65" s="9" t="str">
        <f t="shared" si="46"/>
        <v>Curacao</v>
      </c>
      <c r="Q65" s="9" t="str">
        <f t="shared" si="27"/>
        <v>Ivory Coast</v>
      </c>
      <c r="S65" s="9">
        <f t="shared" si="36"/>
        <v>0</v>
      </c>
      <c r="T65" s="10">
        <f t="shared" si="47"/>
        <v>0.06</v>
      </c>
      <c r="U65" s="10">
        <f t="shared" si="48"/>
        <v>0</v>
      </c>
      <c r="W65" s="9">
        <f t="shared" si="13"/>
        <v>1</v>
      </c>
      <c r="X65" s="10">
        <f t="shared" si="49"/>
        <v>0.84</v>
      </c>
      <c r="Y65" s="10">
        <f t="shared" si="50"/>
        <v>1.1904761904761905</v>
      </c>
      <c r="AA65" s="9">
        <f t="shared" si="14"/>
        <v>0</v>
      </c>
      <c r="AB65" s="10">
        <f t="shared" si="51"/>
        <v>0.12</v>
      </c>
      <c r="AC65" s="10">
        <f t="shared" si="52"/>
        <v>0</v>
      </c>
      <c r="AE65" s="9">
        <f t="shared" si="43"/>
        <v>0</v>
      </c>
      <c r="AF65" s="10">
        <f t="shared" si="53"/>
        <v>0.16000000000000003</v>
      </c>
      <c r="AG65" s="10">
        <f t="shared" si="54"/>
        <v>0</v>
      </c>
      <c r="AJ65" s="9">
        <f t="shared" si="21"/>
        <v>1</v>
      </c>
    </row>
    <row r="66" spans="2:39" s="9" customFormat="1" x14ac:dyDescent="0.25">
      <c r="B66" s="8">
        <v>46198</v>
      </c>
      <c r="C66" s="9" t="s">
        <v>26</v>
      </c>
      <c r="D66" s="9" t="s">
        <v>29</v>
      </c>
      <c r="E66" s="10">
        <v>0.53</v>
      </c>
      <c r="F66" s="10">
        <v>0.27</v>
      </c>
      <c r="G66" s="10">
        <v>0.22</v>
      </c>
      <c r="H66" s="10"/>
      <c r="I66" s="11"/>
      <c r="K66" s="12">
        <v>1</v>
      </c>
      <c r="L66" s="12">
        <v>1</v>
      </c>
      <c r="M66" s="9" t="str">
        <f t="shared" si="12"/>
        <v>draw</v>
      </c>
      <c r="N66" s="9" t="str">
        <f t="shared" si="20"/>
        <v>draw</v>
      </c>
      <c r="P66" s="9" t="str">
        <f t="shared" si="46"/>
        <v>Sweden</v>
      </c>
      <c r="Q66" s="9" t="str">
        <f t="shared" si="27"/>
        <v>Japan</v>
      </c>
      <c r="S66" s="9">
        <f t="shared" si="36"/>
        <v>0</v>
      </c>
      <c r="T66" s="10">
        <f t="shared" si="47"/>
        <v>0.22</v>
      </c>
      <c r="U66" s="10">
        <f t="shared" si="48"/>
        <v>0</v>
      </c>
      <c r="W66" s="9">
        <f t="shared" si="13"/>
        <v>0</v>
      </c>
      <c r="X66" s="10">
        <f t="shared" si="49"/>
        <v>0.53</v>
      </c>
      <c r="Y66" s="10">
        <f t="shared" si="50"/>
        <v>0</v>
      </c>
      <c r="AA66" s="9">
        <f t="shared" si="14"/>
        <v>1</v>
      </c>
      <c r="AB66" s="10">
        <f t="shared" si="51"/>
        <v>0.27</v>
      </c>
      <c r="AC66" s="10">
        <f t="shared" si="52"/>
        <v>3.7037037037037033</v>
      </c>
      <c r="AE66" s="9">
        <f t="shared" si="43"/>
        <v>1</v>
      </c>
      <c r="AF66" s="10">
        <f t="shared" si="53"/>
        <v>0.47</v>
      </c>
      <c r="AG66" s="10">
        <f t="shared" si="54"/>
        <v>2.1276595744680851</v>
      </c>
      <c r="AJ66" s="9">
        <f t="shared" si="21"/>
        <v>0</v>
      </c>
    </row>
    <row r="67" spans="2:39" s="9" customFormat="1" x14ac:dyDescent="0.25">
      <c r="B67" s="8">
        <v>46198</v>
      </c>
      <c r="C67" s="9" t="s">
        <v>30</v>
      </c>
      <c r="D67" s="9" t="s">
        <v>25</v>
      </c>
      <c r="E67" s="10">
        <v>3.5999999999999997E-2</v>
      </c>
      <c r="F67" s="10">
        <v>0.1</v>
      </c>
      <c r="G67" s="10">
        <v>0.88</v>
      </c>
      <c r="H67" s="10"/>
      <c r="I67" s="11">
        <v>1</v>
      </c>
      <c r="J67" s="9" t="s">
        <v>25</v>
      </c>
      <c r="K67" s="12">
        <v>1</v>
      </c>
      <c r="L67" s="12">
        <v>3</v>
      </c>
      <c r="M67" s="9" t="str">
        <f t="shared" si="12"/>
        <v>Netherlands</v>
      </c>
      <c r="N67" s="9" t="str">
        <f t="shared" si="20"/>
        <v>fav win</v>
      </c>
      <c r="P67" s="9" t="str">
        <f t="shared" si="46"/>
        <v>Tunisia</v>
      </c>
      <c r="Q67" s="9" t="str">
        <f t="shared" si="27"/>
        <v>Netherlands</v>
      </c>
      <c r="S67" s="9">
        <f t="shared" si="36"/>
        <v>0</v>
      </c>
      <c r="T67" s="10">
        <f t="shared" si="47"/>
        <v>3.5999999999999997E-2</v>
      </c>
      <c r="U67" s="10">
        <f t="shared" si="48"/>
        <v>0</v>
      </c>
      <c r="W67" s="9">
        <f t="shared" si="13"/>
        <v>1</v>
      </c>
      <c r="X67" s="10">
        <f t="shared" si="49"/>
        <v>0.88</v>
      </c>
      <c r="Y67" s="10">
        <f t="shared" si="50"/>
        <v>1.1363636363636365</v>
      </c>
      <c r="AA67" s="9">
        <f t="shared" si="14"/>
        <v>0</v>
      </c>
      <c r="AB67" s="10">
        <f t="shared" si="51"/>
        <v>0.1</v>
      </c>
      <c r="AC67" s="10">
        <f t="shared" si="52"/>
        <v>0</v>
      </c>
      <c r="AE67" s="9">
        <f t="shared" si="43"/>
        <v>0</v>
      </c>
      <c r="AF67" s="10">
        <f t="shared" si="53"/>
        <v>0.12</v>
      </c>
      <c r="AG67" s="10">
        <f t="shared" si="54"/>
        <v>0</v>
      </c>
      <c r="AJ67" s="9">
        <f t="shared" si="21"/>
        <v>1</v>
      </c>
    </row>
    <row r="68" spans="2:39" s="9" customFormat="1" x14ac:dyDescent="0.25">
      <c r="B68" s="8">
        <v>46198</v>
      </c>
      <c r="C68" s="9" t="s">
        <v>22</v>
      </c>
      <c r="D68" s="9" t="s">
        <v>7</v>
      </c>
      <c r="E68" s="10">
        <v>0.27</v>
      </c>
      <c r="F68" s="10">
        <v>0.23</v>
      </c>
      <c r="G68" s="10">
        <v>0.52</v>
      </c>
      <c r="H68" s="10"/>
      <c r="I68" s="11"/>
      <c r="K68" s="12">
        <v>3</v>
      </c>
      <c r="L68" s="12">
        <v>2</v>
      </c>
      <c r="M68" s="9" t="str">
        <f t="shared" si="12"/>
        <v>Turkey</v>
      </c>
      <c r="N68" s="9" t="str">
        <f t="shared" si="20"/>
        <v>dog win</v>
      </c>
      <c r="P68" s="9" t="str">
        <f t="shared" si="46"/>
        <v>Turkey</v>
      </c>
      <c r="Q68" s="9" t="str">
        <f t="shared" si="27"/>
        <v>USA</v>
      </c>
      <c r="S68" s="9">
        <f t="shared" si="36"/>
        <v>1</v>
      </c>
      <c r="T68" s="10">
        <f t="shared" si="47"/>
        <v>0.27</v>
      </c>
      <c r="U68" s="10">
        <f t="shared" si="48"/>
        <v>3.7037037037037033</v>
      </c>
      <c r="W68" s="9">
        <f t="shared" si="13"/>
        <v>0</v>
      </c>
      <c r="X68" s="10">
        <f t="shared" si="49"/>
        <v>0.52</v>
      </c>
      <c r="Y68" s="10">
        <f t="shared" si="50"/>
        <v>0</v>
      </c>
      <c r="AA68" s="9">
        <f t="shared" si="14"/>
        <v>0</v>
      </c>
      <c r="AB68" s="10">
        <f t="shared" si="51"/>
        <v>0.23</v>
      </c>
      <c r="AC68" s="10">
        <f t="shared" si="52"/>
        <v>0</v>
      </c>
      <c r="AE68" s="9">
        <f t="shared" si="43"/>
        <v>1</v>
      </c>
      <c r="AF68" s="10">
        <f t="shared" si="53"/>
        <v>0.48</v>
      </c>
      <c r="AG68" s="10">
        <f t="shared" si="54"/>
        <v>2.0833333333333335</v>
      </c>
      <c r="AJ68" s="9">
        <f t="shared" si="21"/>
        <v>0</v>
      </c>
    </row>
    <row r="69" spans="2:39" s="9" customFormat="1" x14ac:dyDescent="0.25">
      <c r="B69" s="8">
        <v>46198</v>
      </c>
      <c r="C69" s="9" t="s">
        <v>8</v>
      </c>
      <c r="D69" s="9" t="s">
        <v>21</v>
      </c>
      <c r="E69" s="10">
        <v>0.34</v>
      </c>
      <c r="F69" s="10">
        <v>0.43</v>
      </c>
      <c r="G69" s="10">
        <v>0.24</v>
      </c>
      <c r="H69" s="10"/>
      <c r="I69" s="11"/>
      <c r="K69" s="12">
        <v>0</v>
      </c>
      <c r="L69" s="12">
        <v>0</v>
      </c>
      <c r="M69" s="9" t="str">
        <f t="shared" si="12"/>
        <v>draw</v>
      </c>
      <c r="N69" s="9" t="str">
        <f t="shared" si="20"/>
        <v>draw</v>
      </c>
      <c r="P69" s="9" t="str">
        <f t="shared" si="46"/>
        <v>Australia</v>
      </c>
      <c r="Q69" s="9" t="str">
        <f t="shared" si="27"/>
        <v>Paraguay</v>
      </c>
      <c r="S69" s="9">
        <f t="shared" si="36"/>
        <v>0</v>
      </c>
      <c r="T69" s="10">
        <f t="shared" si="47"/>
        <v>0.24</v>
      </c>
      <c r="U69" s="10">
        <f t="shared" si="48"/>
        <v>0</v>
      </c>
      <c r="W69" s="9">
        <f t="shared" si="13"/>
        <v>0</v>
      </c>
      <c r="X69" s="10">
        <f t="shared" si="49"/>
        <v>0.34</v>
      </c>
      <c r="Y69" s="10">
        <f t="shared" si="50"/>
        <v>0</v>
      </c>
      <c r="AA69" s="9">
        <f t="shared" si="14"/>
        <v>1</v>
      </c>
      <c r="AB69" s="10">
        <f t="shared" si="51"/>
        <v>0.43</v>
      </c>
      <c r="AC69" s="10">
        <f t="shared" si="52"/>
        <v>2.3255813953488373</v>
      </c>
      <c r="AE69" s="9">
        <f t="shared" si="43"/>
        <v>1</v>
      </c>
      <c r="AF69" s="10">
        <f t="shared" si="53"/>
        <v>0.65999999999999992</v>
      </c>
      <c r="AG69" s="10">
        <f t="shared" si="54"/>
        <v>1.5151515151515154</v>
      </c>
      <c r="AJ69" s="9">
        <f t="shared" si="21"/>
        <v>0</v>
      </c>
    </row>
    <row r="70" spans="2:39" s="9" customFormat="1" x14ac:dyDescent="0.25">
      <c r="B70" s="8">
        <v>46199</v>
      </c>
      <c r="C70" s="9" t="s">
        <v>36</v>
      </c>
      <c r="D70" s="9" t="s">
        <v>37</v>
      </c>
      <c r="E70" s="10">
        <v>0.21</v>
      </c>
      <c r="F70" s="10">
        <v>0.21</v>
      </c>
      <c r="G70" s="10">
        <v>0.6</v>
      </c>
      <c r="H70" s="10"/>
      <c r="I70" s="11">
        <v>1</v>
      </c>
      <c r="J70" s="9" t="s">
        <v>37</v>
      </c>
      <c r="K70" s="12">
        <v>1</v>
      </c>
      <c r="L70" s="12">
        <v>4</v>
      </c>
      <c r="M70" s="9" t="str">
        <f t="shared" si="12"/>
        <v>France</v>
      </c>
      <c r="N70" s="9" t="str">
        <f t="shared" si="20"/>
        <v>fav win</v>
      </c>
      <c r="P70" s="9" t="str">
        <f t="shared" si="46"/>
        <v>Norway</v>
      </c>
      <c r="Q70" s="9" t="str">
        <f t="shared" si="27"/>
        <v>France</v>
      </c>
      <c r="S70" s="9">
        <f t="shared" ref="S70:S71" si="55">+IF(P70=M70,1,0)</f>
        <v>0</v>
      </c>
      <c r="T70" s="10">
        <f t="shared" ref="T70:T71" si="56">+IF(P70=C70,E70,G70)</f>
        <v>0.21</v>
      </c>
      <c r="U70" s="10">
        <f t="shared" ref="U70:U71" si="57">1/T70*S70</f>
        <v>0</v>
      </c>
      <c r="W70" s="9">
        <f t="shared" si="13"/>
        <v>1</v>
      </c>
      <c r="X70" s="10">
        <f t="shared" ref="X70:X71" si="58">+IF(P70=C70,G70,E70)</f>
        <v>0.6</v>
      </c>
      <c r="Y70" s="10">
        <f t="shared" ref="Y70:Y71" si="59">1/X70*W70</f>
        <v>1.6666666666666667</v>
      </c>
      <c r="AA70" s="9">
        <f t="shared" ref="AA70:AA71" si="60">+IF(M70="draw",1,0)</f>
        <v>0</v>
      </c>
      <c r="AB70" s="10">
        <f t="shared" ref="AB70:AB71" si="61">+F70</f>
        <v>0.21</v>
      </c>
      <c r="AC70" s="10">
        <f t="shared" ref="AC70:AC71" si="62">1/AB70*AA70</f>
        <v>0</v>
      </c>
      <c r="AE70" s="9">
        <f t="shared" ref="AE70:AE71" si="63">+IF(Q70=M70,0,1)</f>
        <v>0</v>
      </c>
      <c r="AF70" s="10">
        <f t="shared" ref="AF70:AF71" si="64">1-IF(C70=Q70,E70,G70)</f>
        <v>0.4</v>
      </c>
      <c r="AG70" s="10">
        <f t="shared" ref="AG70:AG71" si="65">1/AF70*AE70</f>
        <v>0</v>
      </c>
      <c r="AJ70" s="9">
        <f t="shared" si="21"/>
        <v>1</v>
      </c>
    </row>
    <row r="71" spans="2:39" s="9" customFormat="1" x14ac:dyDescent="0.25">
      <c r="B71" s="8">
        <v>46199</v>
      </c>
      <c r="C71" s="9" t="s">
        <v>38</v>
      </c>
      <c r="D71" s="9" t="s">
        <v>39</v>
      </c>
      <c r="E71" s="10">
        <v>0.8</v>
      </c>
      <c r="F71" s="10">
        <v>0.15</v>
      </c>
      <c r="G71" s="10">
        <v>7.0000000000000007E-2</v>
      </c>
      <c r="H71" s="10"/>
      <c r="I71" s="11">
        <v>1</v>
      </c>
      <c r="J71" s="9" t="s">
        <v>38</v>
      </c>
      <c r="K71" s="12">
        <v>5</v>
      </c>
      <c r="L71" s="12">
        <v>0</v>
      </c>
      <c r="M71" s="9" t="str">
        <f t="shared" ref="M71" si="66">+IF(K71&gt;L71,C71,IF(L71=K71,"draw",D71))</f>
        <v>Senegal</v>
      </c>
      <c r="N71" s="9" t="str">
        <f t="shared" ref="N71" si="67">IF(M71="draw","draw",IF(M71=P71,"dog win","fav win"))</f>
        <v>fav win</v>
      </c>
      <c r="P71" s="9" t="str">
        <f t="shared" si="46"/>
        <v>Iraq</v>
      </c>
      <c r="Q71" s="9" t="str">
        <f t="shared" si="27"/>
        <v>Senegal</v>
      </c>
      <c r="S71" s="9">
        <f t="shared" si="55"/>
        <v>0</v>
      </c>
      <c r="T71" s="10">
        <f t="shared" si="56"/>
        <v>7.0000000000000007E-2</v>
      </c>
      <c r="U71" s="10">
        <f t="shared" si="57"/>
        <v>0</v>
      </c>
      <c r="W71" s="9">
        <f t="shared" si="13"/>
        <v>1</v>
      </c>
      <c r="X71" s="10">
        <f t="shared" si="58"/>
        <v>0.8</v>
      </c>
      <c r="Y71" s="10">
        <f t="shared" si="59"/>
        <v>1.25</v>
      </c>
      <c r="AA71" s="9">
        <f t="shared" si="60"/>
        <v>0</v>
      </c>
      <c r="AB71" s="10">
        <f t="shared" si="61"/>
        <v>0.15</v>
      </c>
      <c r="AC71" s="10">
        <f t="shared" si="62"/>
        <v>0</v>
      </c>
      <c r="AE71" s="9">
        <f t="shared" si="63"/>
        <v>0</v>
      </c>
      <c r="AF71" s="10">
        <f t="shared" si="64"/>
        <v>0.19999999999999996</v>
      </c>
      <c r="AG71" s="10">
        <f t="shared" si="65"/>
        <v>0</v>
      </c>
    </row>
    <row r="72" spans="2:39" s="9" customFormat="1" x14ac:dyDescent="0.25">
      <c r="B72" s="9" t="s">
        <v>70</v>
      </c>
      <c r="C72" s="9" t="s">
        <v>70</v>
      </c>
      <c r="D72" s="9" t="s">
        <v>70</v>
      </c>
      <c r="E72" s="9" t="s">
        <v>70</v>
      </c>
      <c r="F72" s="9" t="s">
        <v>70</v>
      </c>
      <c r="G72" s="9" t="s">
        <v>70</v>
      </c>
      <c r="H72" s="9" t="s">
        <v>70</v>
      </c>
      <c r="I72" s="9" t="s">
        <v>70</v>
      </c>
      <c r="J72" s="9" t="s">
        <v>70</v>
      </c>
      <c r="K72" s="9" t="s">
        <v>70</v>
      </c>
      <c r="L72" s="9" t="s">
        <v>70</v>
      </c>
      <c r="M72" s="9" t="s">
        <v>70</v>
      </c>
      <c r="N72" s="9" t="s">
        <v>70</v>
      </c>
      <c r="O72" s="9" t="s">
        <v>70</v>
      </c>
      <c r="P72" s="9" t="s">
        <v>70</v>
      </c>
      <c r="Q72" s="9" t="s">
        <v>70</v>
      </c>
      <c r="S72" s="9" t="s">
        <v>70</v>
      </c>
      <c r="T72" s="10" t="s">
        <v>70</v>
      </c>
      <c r="U72" s="9" t="s">
        <v>70</v>
      </c>
      <c r="V72" s="9" t="s">
        <v>70</v>
      </c>
      <c r="W72" s="9" t="s">
        <v>70</v>
      </c>
      <c r="X72" s="9" t="s">
        <v>70</v>
      </c>
      <c r="Y72" s="9" t="s">
        <v>70</v>
      </c>
      <c r="Z72" s="9" t="s">
        <v>70</v>
      </c>
      <c r="AA72" s="9" t="s">
        <v>70</v>
      </c>
      <c r="AB72" s="9" t="s">
        <v>70</v>
      </c>
      <c r="AC72" s="9" t="s">
        <v>70</v>
      </c>
      <c r="AD72" s="9" t="s">
        <v>70</v>
      </c>
      <c r="AE72" s="9" t="s">
        <v>70</v>
      </c>
      <c r="AF72" s="9" t="s">
        <v>70</v>
      </c>
      <c r="AG72" s="9" t="s">
        <v>70</v>
      </c>
      <c r="AH72" s="9" t="s">
        <v>70</v>
      </c>
      <c r="AI72" s="9" t="s">
        <v>70</v>
      </c>
      <c r="AJ72" s="9" t="s">
        <v>70</v>
      </c>
      <c r="AK72" s="9" t="s">
        <v>70</v>
      </c>
      <c r="AL72" s="9" t="s">
        <v>70</v>
      </c>
      <c r="AM72" s="9" t="s">
        <v>70</v>
      </c>
    </row>
    <row r="73" spans="2:39" s="9" customFormat="1" x14ac:dyDescent="0.25">
      <c r="B73" s="8">
        <v>46199</v>
      </c>
      <c r="C73" s="9" t="s">
        <v>40</v>
      </c>
      <c r="D73" s="9" t="s">
        <v>41</v>
      </c>
      <c r="E73" s="10">
        <v>0.4</v>
      </c>
      <c r="F73" s="10">
        <v>0.28000000000000003</v>
      </c>
      <c r="G73" s="10">
        <v>0.34</v>
      </c>
      <c r="H73" s="10"/>
      <c r="I73" s="11"/>
      <c r="K73" s="12"/>
      <c r="L73" s="12"/>
      <c r="P73" s="9" t="str">
        <f t="shared" si="46"/>
        <v>Saudi Arabia</v>
      </c>
      <c r="Q73" s="9" t="str">
        <f t="shared" si="27"/>
        <v>Cabo Verde</v>
      </c>
      <c r="T73" s="10"/>
    </row>
    <row r="74" spans="2:39" s="9" customFormat="1" x14ac:dyDescent="0.25">
      <c r="B74" s="8">
        <v>46199</v>
      </c>
      <c r="C74" s="9" t="s">
        <v>42</v>
      </c>
      <c r="D74" s="9" t="s">
        <v>43</v>
      </c>
      <c r="E74" s="10">
        <v>0.13</v>
      </c>
      <c r="F74" s="10">
        <v>0.23</v>
      </c>
      <c r="G74" s="10">
        <v>0.65</v>
      </c>
      <c r="H74" s="10"/>
      <c r="I74" s="11">
        <v>1</v>
      </c>
      <c r="J74" s="9" t="s">
        <v>43</v>
      </c>
      <c r="K74" s="12"/>
      <c r="L74" s="12"/>
      <c r="P74" s="9" t="str">
        <f t="shared" si="46"/>
        <v>Uruguay</v>
      </c>
      <c r="Q74" s="9" t="str">
        <f t="shared" si="27"/>
        <v>Spain</v>
      </c>
      <c r="T74" s="10"/>
    </row>
    <row r="75" spans="2:39" s="9" customFormat="1" x14ac:dyDescent="0.25">
      <c r="B75" s="8">
        <v>46199</v>
      </c>
      <c r="C75" s="9" t="s">
        <v>44</v>
      </c>
      <c r="D75" s="9" t="s">
        <v>45</v>
      </c>
      <c r="E75" s="10">
        <v>0.4</v>
      </c>
      <c r="F75" s="10">
        <v>0.37</v>
      </c>
      <c r="G75" s="10">
        <v>0.25</v>
      </c>
      <c r="H75" s="10"/>
      <c r="I75" s="11"/>
      <c r="K75" s="12"/>
      <c r="L75" s="12"/>
      <c r="P75" s="9" t="str">
        <f t="shared" si="46"/>
        <v>Iran</v>
      </c>
      <c r="Q75" s="9" t="str">
        <f t="shared" si="27"/>
        <v>Egypt</v>
      </c>
      <c r="T75" s="10"/>
    </row>
    <row r="76" spans="2:39" s="9" customFormat="1" x14ac:dyDescent="0.25">
      <c r="B76" s="8">
        <v>46199</v>
      </c>
      <c r="C76" s="9" t="s">
        <v>46</v>
      </c>
      <c r="D76" s="9" t="s">
        <v>47</v>
      </c>
      <c r="E76" s="10">
        <v>0.06</v>
      </c>
      <c r="F76" s="10">
        <v>0.12</v>
      </c>
      <c r="G76" s="10">
        <v>0.83</v>
      </c>
      <c r="H76" s="10"/>
      <c r="I76" s="11"/>
      <c r="K76" s="12"/>
      <c r="L76" s="12"/>
      <c r="P76" s="9" t="str">
        <f t="shared" si="46"/>
        <v>New Zeland</v>
      </c>
      <c r="Q76" s="9" t="str">
        <f t="shared" si="27"/>
        <v>Belgium</v>
      </c>
      <c r="T76" s="10"/>
    </row>
    <row r="77" spans="2:39" s="9" customFormat="1" x14ac:dyDescent="0.25">
      <c r="B77" s="8">
        <v>46200</v>
      </c>
      <c r="C77" s="9" t="s">
        <v>48</v>
      </c>
      <c r="D77" s="9" t="s">
        <v>49</v>
      </c>
      <c r="E77" s="10">
        <v>0.55000000000000004</v>
      </c>
      <c r="F77" s="10">
        <v>0.3</v>
      </c>
      <c r="G77" s="10">
        <v>0.17</v>
      </c>
      <c r="H77" s="10"/>
      <c r="I77" s="11"/>
      <c r="K77" s="12"/>
      <c r="L77" s="12"/>
      <c r="P77" s="9" t="str">
        <f t="shared" si="46"/>
        <v>Ghana</v>
      </c>
      <c r="Q77" s="9" t="str">
        <f t="shared" si="27"/>
        <v>Croatia</v>
      </c>
      <c r="T77" s="10"/>
    </row>
    <row r="78" spans="2:39" s="9" customFormat="1" x14ac:dyDescent="0.25">
      <c r="B78" s="8">
        <v>46200</v>
      </c>
      <c r="C78" s="9" t="s">
        <v>50</v>
      </c>
      <c r="D78" s="9" t="s">
        <v>51</v>
      </c>
      <c r="E78" s="10">
        <v>0.06</v>
      </c>
      <c r="F78" s="10">
        <v>0.12</v>
      </c>
      <c r="G78" s="10">
        <v>0.84</v>
      </c>
      <c r="H78" s="10"/>
      <c r="I78" s="11"/>
      <c r="K78" s="12"/>
      <c r="L78" s="12"/>
      <c r="P78" s="9" t="str">
        <f t="shared" si="46"/>
        <v>Panama</v>
      </c>
      <c r="Q78" s="9" t="str">
        <f t="shared" si="27"/>
        <v>England</v>
      </c>
      <c r="T78" s="10"/>
    </row>
    <row r="79" spans="2:39" s="9" customFormat="1" x14ac:dyDescent="0.25">
      <c r="B79" s="8">
        <v>46200</v>
      </c>
      <c r="C79" s="9" t="s">
        <v>52</v>
      </c>
      <c r="D79" s="9" t="s">
        <v>53</v>
      </c>
      <c r="E79" s="10">
        <v>0.24</v>
      </c>
      <c r="F79" s="10">
        <v>0.25</v>
      </c>
      <c r="G79" s="10">
        <v>0.52</v>
      </c>
      <c r="H79" s="10"/>
      <c r="I79" s="11"/>
      <c r="K79" s="12"/>
      <c r="L79" s="12"/>
      <c r="P79" s="9" t="str">
        <f t="shared" si="46"/>
        <v>Colombia</v>
      </c>
      <c r="Q79" s="9" t="str">
        <f t="shared" si="27"/>
        <v>Portugal</v>
      </c>
      <c r="T79" s="10"/>
    </row>
    <row r="80" spans="2:39" s="9" customFormat="1" x14ac:dyDescent="0.25">
      <c r="B80" s="8">
        <v>46200</v>
      </c>
      <c r="C80" s="9" t="s">
        <v>62</v>
      </c>
      <c r="D80" s="9" t="s">
        <v>54</v>
      </c>
      <c r="E80" s="10">
        <v>0.55000000000000004</v>
      </c>
      <c r="F80" s="10">
        <v>0.24</v>
      </c>
      <c r="G80" s="10">
        <v>0.23</v>
      </c>
      <c r="H80" s="10"/>
      <c r="I80" s="11"/>
      <c r="K80" s="12"/>
      <c r="L80" s="12"/>
      <c r="P80" s="9" t="str">
        <f t="shared" si="46"/>
        <v>Uzbekistan</v>
      </c>
      <c r="Q80" s="9" t="str">
        <f t="shared" si="27"/>
        <v>DRC</v>
      </c>
      <c r="T80" s="10"/>
    </row>
    <row r="81" spans="2:20" s="9" customFormat="1" x14ac:dyDescent="0.25">
      <c r="B81" s="8">
        <v>46200</v>
      </c>
      <c r="C81" s="9" t="s">
        <v>55</v>
      </c>
      <c r="D81" s="9" t="s">
        <v>56</v>
      </c>
      <c r="E81" s="10">
        <v>0.25</v>
      </c>
      <c r="F81" s="10">
        <v>0.44</v>
      </c>
      <c r="G81" s="10">
        <v>0.34</v>
      </c>
      <c r="H81" s="10"/>
      <c r="I81" s="11"/>
      <c r="K81" s="12"/>
      <c r="L81" s="12"/>
      <c r="P81" s="9" t="str">
        <f t="shared" si="46"/>
        <v>Algeria</v>
      </c>
      <c r="Q81" s="9" t="str">
        <f t="shared" si="27"/>
        <v>Austria</v>
      </c>
      <c r="T81" s="10"/>
    </row>
    <row r="82" spans="2:20" s="9" customFormat="1" x14ac:dyDescent="0.25">
      <c r="B82" s="8">
        <v>46200</v>
      </c>
      <c r="C82" s="9" t="s">
        <v>57</v>
      </c>
      <c r="D82" s="9" t="s">
        <v>58</v>
      </c>
      <c r="E82" s="10">
        <v>5.6000000000000001E-2</v>
      </c>
      <c r="F82" s="10">
        <v>0.12</v>
      </c>
      <c r="G82" s="10">
        <v>0.83</v>
      </c>
      <c r="H82" s="10"/>
      <c r="I82" s="11"/>
      <c r="K82" s="12"/>
      <c r="L82" s="12"/>
      <c r="P82" s="9" t="str">
        <f t="shared" si="46"/>
        <v>Jordan</v>
      </c>
      <c r="Q82" s="9" t="str">
        <f t="shared" si="27"/>
        <v>Argentina</v>
      </c>
      <c r="T82" s="10"/>
    </row>
  </sheetData>
  <autoFilter ref="B9:AM82" xr:uid="{C757414D-6AEB-40A0-ABC4-980189D5A524}"/>
  <conditionalFormatting sqref="A10:AZ1000">
    <cfRule type="expression" dxfId="3" priority="3">
      <formula>$M10="draw"</formula>
    </cfRule>
  </conditionalFormatting>
  <conditionalFormatting sqref="A10:XFD82">
    <cfRule type="containsText" dxfId="2" priority="4" stopIfTrue="1" operator="containsText" text="draw">
      <formula>NOT(ISERROR(SEARCH("draw",A10)))</formula>
    </cfRule>
  </conditionalFormatting>
  <conditionalFormatting sqref="L3">
    <cfRule type="expression" dxfId="1" priority="1">
      <formula>$M3="draw"</formula>
    </cfRule>
    <cfRule type="containsText" dxfId="0" priority="2" stopIfTrue="1" operator="containsText" text="draw">
      <formula>NOT(ISERROR(SEARCH("draw",L3)))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3768-1EBC-4087-B20F-8894BD1BDEC0}">
  <dimension ref="B2:I30"/>
  <sheetViews>
    <sheetView showGridLines="0" zoomScale="130" zoomScaleNormal="130" workbookViewId="0">
      <selection activeCell="I21" sqref="I21"/>
    </sheetView>
  </sheetViews>
  <sheetFormatPr defaultRowHeight="13.2" x14ac:dyDescent="0.25"/>
  <cols>
    <col min="1" max="2" width="4.77734375" customWidth="1"/>
  </cols>
  <sheetData>
    <row r="2" spans="2:9" x14ac:dyDescent="0.25">
      <c r="B2" s="6">
        <v>1</v>
      </c>
      <c r="C2" s="6" t="s">
        <v>72</v>
      </c>
    </row>
    <row r="3" spans="2:9" s="4" customFormat="1" x14ac:dyDescent="0.25">
      <c r="C3" s="4" t="s">
        <v>67</v>
      </c>
      <c r="D3" s="7">
        <f>+main!T3</f>
        <v>30.392028463680049</v>
      </c>
      <c r="I3" t="s">
        <v>84</v>
      </c>
    </row>
    <row r="4" spans="2:9" s="4" customFormat="1" x14ac:dyDescent="0.25">
      <c r="C4" s="4" t="s">
        <v>69</v>
      </c>
      <c r="D4" s="7">
        <f>+main!T4</f>
        <v>62</v>
      </c>
      <c r="I4" t="s">
        <v>85</v>
      </c>
    </row>
    <row r="5" spans="2:9" s="5" customFormat="1" x14ac:dyDescent="0.25">
      <c r="C5" s="5" t="s">
        <v>79</v>
      </c>
      <c r="D5" s="5">
        <f>+main!T5</f>
        <v>-0.50980599252128955</v>
      </c>
    </row>
    <row r="6" spans="2:9" s="5" customFormat="1" x14ac:dyDescent="0.25">
      <c r="C6" s="5" t="s">
        <v>78</v>
      </c>
      <c r="D6" s="5">
        <f>+main!T6</f>
        <v>0.08</v>
      </c>
    </row>
    <row r="8" spans="2:9" x14ac:dyDescent="0.25">
      <c r="B8" s="6">
        <v>2</v>
      </c>
      <c r="C8" s="6" t="s">
        <v>86</v>
      </c>
    </row>
    <row r="9" spans="2:9" x14ac:dyDescent="0.25">
      <c r="C9" s="4" t="s">
        <v>67</v>
      </c>
      <c r="D9" s="7">
        <f>+main!X3</f>
        <v>60.093764039348521</v>
      </c>
      <c r="I9" t="s">
        <v>92</v>
      </c>
    </row>
    <row r="10" spans="2:9" x14ac:dyDescent="0.25">
      <c r="C10" s="4" t="s">
        <v>69</v>
      </c>
      <c r="D10" s="7">
        <f>+main!X4</f>
        <v>62</v>
      </c>
      <c r="I10" t="s">
        <v>93</v>
      </c>
    </row>
    <row r="11" spans="2:9" x14ac:dyDescent="0.25">
      <c r="C11" s="5" t="s">
        <v>79</v>
      </c>
      <c r="D11" s="5">
        <f>+main!X5</f>
        <v>-3.0745741300830298E-2</v>
      </c>
    </row>
    <row r="12" spans="2:9" x14ac:dyDescent="0.25">
      <c r="C12" s="5" t="s">
        <v>78</v>
      </c>
      <c r="D12" s="5">
        <f>+main!X6</f>
        <v>0.64</v>
      </c>
    </row>
    <row r="14" spans="2:9" x14ac:dyDescent="0.25">
      <c r="B14" s="6">
        <v>3</v>
      </c>
      <c r="C14" s="6" t="s">
        <v>74</v>
      </c>
    </row>
    <row r="15" spans="2:9" x14ac:dyDescent="0.25">
      <c r="C15" s="4" t="s">
        <v>67</v>
      </c>
      <c r="D15" s="7">
        <f>+main!AB3</f>
        <v>83.621017506363913</v>
      </c>
      <c r="I15" t="s">
        <v>94</v>
      </c>
    </row>
    <row r="16" spans="2:9" x14ac:dyDescent="0.25">
      <c r="C16" s="4" t="s">
        <v>69</v>
      </c>
      <c r="D16" s="7">
        <f>+main!AB4</f>
        <v>62</v>
      </c>
      <c r="I16" t="s">
        <v>87</v>
      </c>
    </row>
    <row r="17" spans="2:9" x14ac:dyDescent="0.25">
      <c r="C17" s="5" t="s">
        <v>79</v>
      </c>
      <c r="D17" s="5">
        <f>+main!AB5</f>
        <v>0.34872608881232114</v>
      </c>
    </row>
    <row r="18" spans="2:9" x14ac:dyDescent="0.25">
      <c r="C18" s="5" t="s">
        <v>78</v>
      </c>
      <c r="D18" s="5">
        <f>+main!AB6</f>
        <v>0.28000000000000003</v>
      </c>
    </row>
    <row r="20" spans="2:9" x14ac:dyDescent="0.25">
      <c r="B20" s="6">
        <v>4</v>
      </c>
      <c r="C20" s="6" t="s">
        <v>77</v>
      </c>
    </row>
    <row r="21" spans="2:9" x14ac:dyDescent="0.25">
      <c r="C21" s="4" t="s">
        <v>67</v>
      </c>
      <c r="D21" s="7">
        <f>+main!AF3</f>
        <v>71.155537702459995</v>
      </c>
      <c r="I21" t="s">
        <v>88</v>
      </c>
    </row>
    <row r="22" spans="2:9" x14ac:dyDescent="0.25">
      <c r="C22" s="4" t="s">
        <v>69</v>
      </c>
      <c r="D22" s="7">
        <f>+main!AF4</f>
        <v>62</v>
      </c>
      <c r="I22" t="s">
        <v>89</v>
      </c>
    </row>
    <row r="23" spans="2:9" x14ac:dyDescent="0.25">
      <c r="C23" s="5" t="s">
        <v>79</v>
      </c>
      <c r="D23" s="5">
        <f>+main!AF5</f>
        <v>0.14766996294290324</v>
      </c>
    </row>
    <row r="24" spans="2:9" x14ac:dyDescent="0.25">
      <c r="C24" s="5" t="s">
        <v>78</v>
      </c>
      <c r="D24" s="5">
        <f>+main!AF6</f>
        <v>0.36</v>
      </c>
    </row>
    <row r="26" spans="2:9" x14ac:dyDescent="0.25">
      <c r="B26" s="6">
        <v>5</v>
      </c>
      <c r="C26" s="6" t="s">
        <v>76</v>
      </c>
    </row>
    <row r="27" spans="2:9" x14ac:dyDescent="0.25">
      <c r="C27" s="4" t="s">
        <v>67</v>
      </c>
      <c r="D27" s="7">
        <f>+main!AK3</f>
        <v>40.49608772498803</v>
      </c>
      <c r="I27" t="s">
        <v>91</v>
      </c>
    </row>
    <row r="28" spans="2:9" x14ac:dyDescent="0.25">
      <c r="C28" s="4" t="s">
        <v>69</v>
      </c>
      <c r="D28" s="7">
        <f>+main!AK4</f>
        <v>61</v>
      </c>
    </row>
    <row r="29" spans="2:9" x14ac:dyDescent="0.25">
      <c r="C29" s="5" t="s">
        <v>79</v>
      </c>
      <c r="D29" s="5">
        <f>+main!AK5</f>
        <v>-0.33612970942642573</v>
      </c>
    </row>
    <row r="30" spans="2:9" x14ac:dyDescent="0.25">
      <c r="C30" s="5" t="s">
        <v>78</v>
      </c>
      <c r="D30" s="5">
        <f>+main!AK6</f>
        <v>0.64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43FF-A397-488B-AE12-D0997B0A7AB9}">
  <dimension ref="C5:C6"/>
  <sheetViews>
    <sheetView showGridLines="0" zoomScale="130" zoomScaleNormal="130" workbookViewId="0">
      <selection activeCell="C7" sqref="C7"/>
    </sheetView>
  </sheetViews>
  <sheetFormatPr defaultRowHeight="13.2" x14ac:dyDescent="0.25"/>
  <sheetData>
    <row r="5" spans="3:3" x14ac:dyDescent="0.25">
      <c r="C5" t="s">
        <v>82</v>
      </c>
    </row>
    <row r="6" spans="3:3" x14ac:dyDescent="0.25">
      <c r="C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comments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Franciszek Kessler</dc:creator>
  <cp:lastModifiedBy>Franciszek Kessler</cp:lastModifiedBy>
  <dcterms:created xsi:type="dcterms:W3CDTF">2026-06-12T15:57:17Z</dcterms:created>
  <dcterms:modified xsi:type="dcterms:W3CDTF">2026-06-26T23:18:45Z</dcterms:modified>
</cp:coreProperties>
</file>