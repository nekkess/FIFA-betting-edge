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81685cd5063f9d2/Dokumenty/Models stocks NEW/"/>
    </mc:Choice>
  </mc:AlternateContent>
  <xr:revisionPtr revIDLastSave="1285" documentId="8_{8E87C82C-BB29-48F9-8123-4CE49274FEA7}" xr6:coauthVersionLast="47" xr6:coauthVersionMax="47" xr10:uidLastSave="{73C218B8-AC55-4752-87BB-D1123401020C}"/>
  <bookViews>
    <workbookView xWindow="-108" yWindow="-108" windowWidth="23256" windowHeight="13896" xr2:uid="{29D8243A-4B35-4CBB-AECB-263FE721693F}"/>
  </bookViews>
  <sheets>
    <sheet name="main" sheetId="1" r:id="rId1"/>
    <sheet name="comments" sheetId="3" r:id="rId2"/>
    <sheet name="sources" sheetId="2" r:id="rId3"/>
    <sheet name="testing" sheetId="4" r:id="rId4"/>
  </sheets>
  <definedNames>
    <definedName name="_xlnm._FilterDatabase" localSheetId="0" hidden="1">main!$B$9:$AM$81</definedName>
    <definedName name="_xlnm._FilterDatabase" localSheetId="3" hidden="1">testing!$B$7:$AL$7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11" i="1" l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10" i="1"/>
  <c r="N9" i="4"/>
  <c r="N10" i="4"/>
  <c r="N11" i="4"/>
  <c r="N12" i="4"/>
  <c r="N13" i="4"/>
  <c r="N14" i="4"/>
  <c r="N15" i="4"/>
  <c r="N16" i="4"/>
  <c r="R16" i="4" s="1"/>
  <c r="N17" i="4"/>
  <c r="R17" i="4" s="1"/>
  <c r="N18" i="4"/>
  <c r="R18" i="4" s="1"/>
  <c r="N19" i="4"/>
  <c r="R19" i="4" s="1"/>
  <c r="N20" i="4"/>
  <c r="R20" i="4" s="1"/>
  <c r="N21" i="4"/>
  <c r="N22" i="4"/>
  <c r="R22" i="4" s="1"/>
  <c r="N23" i="4"/>
  <c r="N24" i="4"/>
  <c r="N25" i="4"/>
  <c r="R25" i="4" s="1"/>
  <c r="N26" i="4"/>
  <c r="N27" i="4"/>
  <c r="N28" i="4"/>
  <c r="N29" i="4"/>
  <c r="N30" i="4"/>
  <c r="N31" i="4"/>
  <c r="N32" i="4"/>
  <c r="N33" i="4"/>
  <c r="N34" i="4"/>
  <c r="N35" i="4"/>
  <c r="R35" i="4" s="1"/>
  <c r="N36" i="4"/>
  <c r="R36" i="4" s="1"/>
  <c r="N37" i="4"/>
  <c r="R37" i="4" s="1"/>
  <c r="N38" i="4"/>
  <c r="R38" i="4" s="1"/>
  <c r="N39" i="4"/>
  <c r="R39" i="4" s="1"/>
  <c r="N40" i="4"/>
  <c r="R40" i="4" s="1"/>
  <c r="N41" i="4"/>
  <c r="R41" i="4" s="1"/>
  <c r="N42" i="4"/>
  <c r="R42" i="4" s="1"/>
  <c r="N43" i="4"/>
  <c r="R43" i="4" s="1"/>
  <c r="N44" i="4"/>
  <c r="R44" i="4" s="1"/>
  <c r="N45" i="4"/>
  <c r="N46" i="4"/>
  <c r="N47" i="4"/>
  <c r="N48" i="4"/>
  <c r="R48" i="4" s="1"/>
  <c r="N49" i="4"/>
  <c r="R49" i="4" s="1"/>
  <c r="N50" i="4"/>
  <c r="N51" i="4"/>
  <c r="R51" i="4" s="1"/>
  <c r="N52" i="4"/>
  <c r="R52" i="4" s="1"/>
  <c r="N53" i="4"/>
  <c r="R53" i="4" s="1"/>
  <c r="N54" i="4"/>
  <c r="R54" i="4" s="1"/>
  <c r="N55" i="4"/>
  <c r="R55" i="4" s="1"/>
  <c r="N56" i="4"/>
  <c r="R56" i="4" s="1"/>
  <c r="N57" i="4"/>
  <c r="N58" i="4"/>
  <c r="N59" i="4"/>
  <c r="N60" i="4"/>
  <c r="N61" i="4"/>
  <c r="R61" i="4" s="1"/>
  <c r="N62" i="4"/>
  <c r="R62" i="4" s="1"/>
  <c r="N63" i="4"/>
  <c r="R63" i="4" s="1"/>
  <c r="N64" i="4"/>
  <c r="R64" i="4" s="1"/>
  <c r="N65" i="4"/>
  <c r="R65" i="4" s="1"/>
  <c r="N66" i="4"/>
  <c r="R66" i="4" s="1"/>
  <c r="N67" i="4"/>
  <c r="N68" i="4"/>
  <c r="R68" i="4" s="1"/>
  <c r="N69" i="4"/>
  <c r="N70" i="4"/>
  <c r="N71" i="4"/>
  <c r="N72" i="4"/>
  <c r="N73" i="4"/>
  <c r="N74" i="4"/>
  <c r="N75" i="4"/>
  <c r="N76" i="4"/>
  <c r="R76" i="4" s="1"/>
  <c r="N77" i="4"/>
  <c r="N78" i="4"/>
  <c r="R78" i="4" s="1"/>
  <c r="N79" i="4"/>
  <c r="R79" i="4" s="1"/>
  <c r="N8" i="4"/>
  <c r="S78" i="1"/>
  <c r="T78" i="1"/>
  <c r="U78" i="1"/>
  <c r="W78" i="1"/>
  <c r="X78" i="1"/>
  <c r="Y78" i="1"/>
  <c r="AA78" i="1"/>
  <c r="AB78" i="1"/>
  <c r="AE78" i="1"/>
  <c r="AF78" i="1"/>
  <c r="AG78" i="1"/>
  <c r="AJ78" i="1"/>
  <c r="AK78" i="1"/>
  <c r="AL78" i="1"/>
  <c r="S79" i="1"/>
  <c r="T79" i="1"/>
  <c r="U79" i="1"/>
  <c r="W79" i="1"/>
  <c r="X79" i="1"/>
  <c r="Y79" i="1"/>
  <c r="AA79" i="1"/>
  <c r="AB79" i="1"/>
  <c r="AE79" i="1"/>
  <c r="AF79" i="1"/>
  <c r="AG79" i="1"/>
  <c r="AJ79" i="1"/>
  <c r="AK79" i="1"/>
  <c r="AL79" i="1"/>
  <c r="S80" i="1"/>
  <c r="T80" i="1"/>
  <c r="U80" i="1"/>
  <c r="W80" i="1"/>
  <c r="X80" i="1"/>
  <c r="Y80" i="1"/>
  <c r="AA80" i="1"/>
  <c r="AB80" i="1"/>
  <c r="AE80" i="1"/>
  <c r="AF80" i="1"/>
  <c r="AG80" i="1"/>
  <c r="AJ80" i="1"/>
  <c r="AK80" i="1"/>
  <c r="AL80" i="1"/>
  <c r="S81" i="1"/>
  <c r="T81" i="1"/>
  <c r="U81" i="1"/>
  <c r="W81" i="1"/>
  <c r="X81" i="1"/>
  <c r="Y81" i="1"/>
  <c r="AA81" i="1"/>
  <c r="AB81" i="1"/>
  <c r="AE81" i="1"/>
  <c r="AF81" i="1"/>
  <c r="AG81" i="1"/>
  <c r="AJ81" i="1"/>
  <c r="AK81" i="1"/>
  <c r="AL81" i="1"/>
  <c r="M78" i="1"/>
  <c r="N78" i="1"/>
  <c r="M79" i="1"/>
  <c r="N79" i="1"/>
  <c r="M80" i="1"/>
  <c r="N80" i="1"/>
  <c r="M81" i="1"/>
  <c r="N81" i="1"/>
  <c r="S76" i="4"/>
  <c r="T76" i="4"/>
  <c r="R77" i="4"/>
  <c r="S77" i="4"/>
  <c r="T77" i="4"/>
  <c r="S78" i="4"/>
  <c r="T78" i="4"/>
  <c r="S79" i="4"/>
  <c r="T79" i="4"/>
  <c r="P79" i="4"/>
  <c r="O79" i="4"/>
  <c r="P78" i="4"/>
  <c r="O78" i="4"/>
  <c r="P77" i="4"/>
  <c r="O77" i="4"/>
  <c r="P76" i="4"/>
  <c r="O76" i="4"/>
  <c r="M79" i="4"/>
  <c r="M78" i="4"/>
  <c r="M77" i="4"/>
  <c r="M76" i="4"/>
  <c r="R8" i="4"/>
  <c r="R11" i="4"/>
  <c r="R12" i="4"/>
  <c r="R13" i="4"/>
  <c r="R14" i="4"/>
  <c r="R15" i="4"/>
  <c r="R26" i="4"/>
  <c r="R27" i="4"/>
  <c r="R28" i="4"/>
  <c r="R29" i="4"/>
  <c r="R30" i="4"/>
  <c r="R31" i="4"/>
  <c r="R32" i="4"/>
  <c r="R46" i="4"/>
  <c r="R47" i="4"/>
  <c r="R57" i="4"/>
  <c r="R58" i="4"/>
  <c r="R59" i="4"/>
  <c r="R60" i="4"/>
  <c r="R73" i="4"/>
  <c r="R74" i="4"/>
  <c r="R75" i="4"/>
  <c r="R23" i="4"/>
  <c r="R24" i="4"/>
  <c r="P9" i="4"/>
  <c r="P10" i="4"/>
  <c r="P11" i="4"/>
  <c r="T11" i="4" s="1"/>
  <c r="P12" i="4"/>
  <c r="T12" i="4" s="1"/>
  <c r="P13" i="4"/>
  <c r="T13" i="4" s="1"/>
  <c r="P14" i="4"/>
  <c r="P15" i="4"/>
  <c r="T15" i="4" s="1"/>
  <c r="P16" i="4"/>
  <c r="T16" i="4" s="1"/>
  <c r="P17" i="4"/>
  <c r="T17" i="4" s="1"/>
  <c r="P18" i="4"/>
  <c r="T18" i="4" s="1"/>
  <c r="P19" i="4"/>
  <c r="T19" i="4" s="1"/>
  <c r="P20" i="4"/>
  <c r="P21" i="4"/>
  <c r="P22" i="4"/>
  <c r="T22" i="4" s="1"/>
  <c r="P23" i="4"/>
  <c r="T23" i="4" s="1"/>
  <c r="P24" i="4"/>
  <c r="T24" i="4" s="1"/>
  <c r="P25" i="4"/>
  <c r="T25" i="4" s="1"/>
  <c r="P26" i="4"/>
  <c r="P27" i="4"/>
  <c r="T27" i="4" s="1"/>
  <c r="P28" i="4"/>
  <c r="T28" i="4" s="1"/>
  <c r="P29" i="4"/>
  <c r="T29" i="4" s="1"/>
  <c r="P30" i="4"/>
  <c r="T30" i="4" s="1"/>
  <c r="P31" i="4"/>
  <c r="T31" i="4" s="1"/>
  <c r="P32" i="4"/>
  <c r="T32" i="4" s="1"/>
  <c r="P33" i="4"/>
  <c r="T33" i="4" s="1"/>
  <c r="P34" i="4"/>
  <c r="T34" i="4" s="1"/>
  <c r="P35" i="4"/>
  <c r="T35" i="4" s="1"/>
  <c r="P36" i="4"/>
  <c r="T36" i="4" s="1"/>
  <c r="P37" i="4"/>
  <c r="T37" i="4" s="1"/>
  <c r="P38" i="4"/>
  <c r="P39" i="4"/>
  <c r="T39" i="4" s="1"/>
  <c r="P40" i="4"/>
  <c r="T40" i="4" s="1"/>
  <c r="P41" i="4"/>
  <c r="P42" i="4"/>
  <c r="P43" i="4"/>
  <c r="T43" i="4" s="1"/>
  <c r="P44" i="4"/>
  <c r="P45" i="4"/>
  <c r="T45" i="4" s="1"/>
  <c r="P46" i="4"/>
  <c r="T46" i="4" s="1"/>
  <c r="P47" i="4"/>
  <c r="P48" i="4"/>
  <c r="P49" i="4"/>
  <c r="P50" i="4"/>
  <c r="P51" i="4"/>
  <c r="P52" i="4"/>
  <c r="T52" i="4" s="1"/>
  <c r="P53" i="4"/>
  <c r="P54" i="4"/>
  <c r="T54" i="4" s="1"/>
  <c r="P55" i="4"/>
  <c r="T55" i="4" s="1"/>
  <c r="P56" i="4"/>
  <c r="P57" i="4"/>
  <c r="T57" i="4" s="1"/>
  <c r="P58" i="4"/>
  <c r="T58" i="4" s="1"/>
  <c r="P59" i="4"/>
  <c r="T59" i="4" s="1"/>
  <c r="P60" i="4"/>
  <c r="T60" i="4" s="1"/>
  <c r="P61" i="4"/>
  <c r="P62" i="4"/>
  <c r="T62" i="4" s="1"/>
  <c r="P63" i="4"/>
  <c r="P64" i="4"/>
  <c r="T64" i="4" s="1"/>
  <c r="P65" i="4"/>
  <c r="P66" i="4"/>
  <c r="T66" i="4" s="1"/>
  <c r="P67" i="4"/>
  <c r="T67" i="4" s="1"/>
  <c r="P68" i="4"/>
  <c r="P69" i="4"/>
  <c r="P70" i="4"/>
  <c r="T70" i="4" s="1"/>
  <c r="P71" i="4"/>
  <c r="T71" i="4" s="1"/>
  <c r="P72" i="4"/>
  <c r="T72" i="4" s="1"/>
  <c r="P73" i="4"/>
  <c r="P74" i="4"/>
  <c r="T74" i="4" s="1"/>
  <c r="P75" i="4"/>
  <c r="P8" i="4"/>
  <c r="T9" i="4"/>
  <c r="T10" i="4"/>
  <c r="T20" i="4"/>
  <c r="T21" i="4"/>
  <c r="T69" i="4"/>
  <c r="O9" i="4"/>
  <c r="O10" i="4"/>
  <c r="O11" i="4"/>
  <c r="O12" i="4"/>
  <c r="O13" i="4"/>
  <c r="O14" i="4"/>
  <c r="O15" i="4"/>
  <c r="O16" i="4"/>
  <c r="S16" i="4" s="1"/>
  <c r="O17" i="4"/>
  <c r="O18" i="4"/>
  <c r="O19" i="4"/>
  <c r="O20" i="4"/>
  <c r="O21" i="4"/>
  <c r="O22" i="4"/>
  <c r="O23" i="4"/>
  <c r="O24" i="4"/>
  <c r="O25" i="4"/>
  <c r="O26" i="4"/>
  <c r="O27" i="4"/>
  <c r="O28" i="4"/>
  <c r="S28" i="4" s="1"/>
  <c r="O29" i="4"/>
  <c r="O30" i="4"/>
  <c r="O31" i="4"/>
  <c r="O32" i="4"/>
  <c r="O33" i="4"/>
  <c r="O34" i="4"/>
  <c r="O35" i="4"/>
  <c r="O36" i="4"/>
  <c r="O37" i="4"/>
  <c r="O38" i="4"/>
  <c r="O39" i="4"/>
  <c r="O40" i="4"/>
  <c r="S40" i="4" s="1"/>
  <c r="O41" i="4"/>
  <c r="O42" i="4"/>
  <c r="O43" i="4"/>
  <c r="O44" i="4"/>
  <c r="O45" i="4"/>
  <c r="O46" i="4"/>
  <c r="O47" i="4"/>
  <c r="O48" i="4"/>
  <c r="O49" i="4"/>
  <c r="O50" i="4"/>
  <c r="O51" i="4"/>
  <c r="O52" i="4"/>
  <c r="S52" i="4" s="1"/>
  <c r="O53" i="4"/>
  <c r="O54" i="4"/>
  <c r="O55" i="4"/>
  <c r="O56" i="4"/>
  <c r="O57" i="4"/>
  <c r="O58" i="4"/>
  <c r="O59" i="4"/>
  <c r="O60" i="4"/>
  <c r="O61" i="4"/>
  <c r="O62" i="4"/>
  <c r="O63" i="4"/>
  <c r="O64" i="4"/>
  <c r="S64" i="4" s="1"/>
  <c r="O65" i="4"/>
  <c r="O66" i="4"/>
  <c r="O67" i="4"/>
  <c r="O68" i="4"/>
  <c r="O69" i="4"/>
  <c r="O70" i="4"/>
  <c r="O71" i="4"/>
  <c r="O72" i="4"/>
  <c r="O73" i="4"/>
  <c r="O74" i="4"/>
  <c r="O75" i="4"/>
  <c r="O8" i="4"/>
  <c r="R10" i="4"/>
  <c r="R21" i="4"/>
  <c r="R33" i="4"/>
  <c r="R34" i="4"/>
  <c r="R45" i="4"/>
  <c r="R69" i="4"/>
  <c r="R70" i="4"/>
  <c r="R71" i="4"/>
  <c r="M8" i="4"/>
  <c r="M9" i="4"/>
  <c r="R9" i="4" s="1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AB72" i="1"/>
  <c r="AB73" i="1"/>
  <c r="AB74" i="1"/>
  <c r="AB75" i="1"/>
  <c r="AB76" i="1"/>
  <c r="AB77" i="1"/>
  <c r="M77" i="1"/>
  <c r="M76" i="1"/>
  <c r="M75" i="1"/>
  <c r="M74" i="1"/>
  <c r="N74" i="1" s="1"/>
  <c r="M73" i="1"/>
  <c r="AA73" i="1" s="1"/>
  <c r="M72" i="1"/>
  <c r="N72" i="1"/>
  <c r="AA72" i="1"/>
  <c r="M12" i="1"/>
  <c r="R50" i="4" l="1"/>
  <c r="S8" i="4"/>
  <c r="R72" i="4"/>
  <c r="T8" i="4"/>
  <c r="S12" i="4"/>
  <c r="S11" i="4"/>
  <c r="T38" i="4"/>
  <c r="T26" i="4"/>
  <c r="T14" i="4"/>
  <c r="S63" i="4"/>
  <c r="S15" i="4"/>
  <c r="S74" i="4"/>
  <c r="S50" i="4"/>
  <c r="S14" i="4"/>
  <c r="S73" i="4"/>
  <c r="S49" i="4"/>
  <c r="S25" i="4"/>
  <c r="S72" i="4"/>
  <c r="S60" i="4"/>
  <c r="S48" i="4"/>
  <c r="S36" i="4"/>
  <c r="S24" i="4"/>
  <c r="T75" i="4"/>
  <c r="T63" i="4"/>
  <c r="T51" i="4"/>
  <c r="S71" i="4"/>
  <c r="S59" i="4"/>
  <c r="S47" i="4"/>
  <c r="S35" i="4"/>
  <c r="S23" i="4"/>
  <c r="T50" i="4"/>
  <c r="S70" i="4"/>
  <c r="S58" i="4"/>
  <c r="S46" i="4"/>
  <c r="S34" i="4"/>
  <c r="S22" i="4"/>
  <c r="S10" i="4"/>
  <c r="T73" i="4"/>
  <c r="T61" i="4"/>
  <c r="T49" i="4"/>
  <c r="S69" i="4"/>
  <c r="S57" i="4"/>
  <c r="S45" i="4"/>
  <c r="S33" i="4"/>
  <c r="S21" i="4"/>
  <c r="S9" i="4"/>
  <c r="T48" i="4"/>
  <c r="S68" i="4"/>
  <c r="S32" i="4"/>
  <c r="T47" i="4"/>
  <c r="S75" i="4"/>
  <c r="S51" i="4"/>
  <c r="S39" i="4"/>
  <c r="S27" i="4"/>
  <c r="T3" i="4"/>
  <c r="S62" i="4"/>
  <c r="S38" i="4"/>
  <c r="S26" i="4"/>
  <c r="S61" i="4"/>
  <c r="S37" i="4"/>
  <c r="S13" i="4"/>
  <c r="S3" i="4"/>
  <c r="S56" i="4"/>
  <c r="S44" i="4"/>
  <c r="S20" i="4"/>
  <c r="T68" i="4"/>
  <c r="T56" i="4"/>
  <c r="T44" i="4"/>
  <c r="R3" i="4"/>
  <c r="T65" i="4"/>
  <c r="T53" i="4"/>
  <c r="S55" i="4"/>
  <c r="S31" i="4"/>
  <c r="S18" i="4"/>
  <c r="T42" i="4"/>
  <c r="T41" i="4"/>
  <c r="S67" i="4"/>
  <c r="S43" i="4"/>
  <c r="S19" i="4"/>
  <c r="S66" i="4"/>
  <c r="S54" i="4"/>
  <c r="S42" i="4"/>
  <c r="S30" i="4"/>
  <c r="S65" i="4"/>
  <c r="S53" i="4"/>
  <c r="S41" i="4"/>
  <c r="S29" i="4"/>
  <c r="S17" i="4"/>
  <c r="R67" i="4"/>
  <c r="AA77" i="1"/>
  <c r="AA76" i="1"/>
  <c r="AA75" i="1"/>
  <c r="AA74" i="1"/>
  <c r="AB71" i="1"/>
  <c r="AB70" i="1"/>
  <c r="AA70" i="1"/>
  <c r="M70" i="1"/>
  <c r="M71" i="1"/>
  <c r="AB64" i="1"/>
  <c r="AB65" i="1"/>
  <c r="AB66" i="1"/>
  <c r="AB67" i="1"/>
  <c r="AB68" i="1"/>
  <c r="AB69" i="1"/>
  <c r="M69" i="1"/>
  <c r="N69" i="1" s="1"/>
  <c r="M68" i="1"/>
  <c r="M67" i="1"/>
  <c r="M66" i="1"/>
  <c r="N66" i="1" s="1"/>
  <c r="M65" i="1"/>
  <c r="AA65" i="1"/>
  <c r="M64" i="1"/>
  <c r="AA64" i="1"/>
  <c r="AA25" i="1"/>
  <c r="AA24" i="1"/>
  <c r="AA19" i="1"/>
  <c r="M11" i="1"/>
  <c r="AA11" i="1" s="1"/>
  <c r="N12" i="1"/>
  <c r="M13" i="1"/>
  <c r="AA13" i="1" s="1"/>
  <c r="M14" i="1"/>
  <c r="N14" i="1" s="1"/>
  <c r="M15" i="1"/>
  <c r="N15" i="1" s="1"/>
  <c r="M16" i="1"/>
  <c r="AA16" i="1" s="1"/>
  <c r="M17" i="1"/>
  <c r="AA17" i="1" s="1"/>
  <c r="M18" i="1"/>
  <c r="AA18" i="1" s="1"/>
  <c r="M19" i="1"/>
  <c r="N19" i="1" s="1"/>
  <c r="M20" i="1"/>
  <c r="AA20" i="1" s="1"/>
  <c r="M21" i="1"/>
  <c r="AA21" i="1" s="1"/>
  <c r="M22" i="1"/>
  <c r="N22" i="1" s="1"/>
  <c r="M23" i="1"/>
  <c r="N23" i="1" s="1"/>
  <c r="M24" i="1"/>
  <c r="N24" i="1" s="1"/>
  <c r="M25" i="1"/>
  <c r="N25" i="1" s="1"/>
  <c r="M26" i="1"/>
  <c r="AA26" i="1" s="1"/>
  <c r="M27" i="1"/>
  <c r="AA27" i="1" s="1"/>
  <c r="M28" i="1"/>
  <c r="AA28" i="1" s="1"/>
  <c r="M29" i="1"/>
  <c r="AA29" i="1" s="1"/>
  <c r="M30" i="1"/>
  <c r="N30" i="1" s="1"/>
  <c r="M31" i="1"/>
  <c r="AA31" i="1" s="1"/>
  <c r="M32" i="1"/>
  <c r="AA32" i="1" s="1"/>
  <c r="M33" i="1"/>
  <c r="AA33" i="1" s="1"/>
  <c r="M34" i="1"/>
  <c r="N34" i="1" s="1"/>
  <c r="M35" i="1"/>
  <c r="AA35" i="1" s="1"/>
  <c r="M36" i="1"/>
  <c r="AA36" i="1" s="1"/>
  <c r="M37" i="1"/>
  <c r="AA37" i="1" s="1"/>
  <c r="M38" i="1"/>
  <c r="AA38" i="1" s="1"/>
  <c r="M39" i="1"/>
  <c r="AA39" i="1" s="1"/>
  <c r="M40" i="1"/>
  <c r="AA40" i="1" s="1"/>
  <c r="M41" i="1"/>
  <c r="AA41" i="1" s="1"/>
  <c r="M42" i="1"/>
  <c r="AA42" i="1" s="1"/>
  <c r="M43" i="1"/>
  <c r="AA43" i="1" s="1"/>
  <c r="M44" i="1"/>
  <c r="N44" i="1" s="1"/>
  <c r="M45" i="1"/>
  <c r="AA45" i="1" s="1"/>
  <c r="M46" i="1"/>
  <c r="AA46" i="1" s="1"/>
  <c r="M47" i="1"/>
  <c r="N47" i="1" s="1"/>
  <c r="M48" i="1"/>
  <c r="N48" i="1" s="1"/>
  <c r="M49" i="1"/>
  <c r="AA49" i="1" s="1"/>
  <c r="M50" i="1"/>
  <c r="AA50" i="1" s="1"/>
  <c r="M51" i="1"/>
  <c r="AA51" i="1" s="1"/>
  <c r="M52" i="1"/>
  <c r="AA52" i="1" s="1"/>
  <c r="M53" i="1"/>
  <c r="AA53" i="1" s="1"/>
  <c r="M54" i="1"/>
  <c r="AA54" i="1" s="1"/>
  <c r="M55" i="1"/>
  <c r="N55" i="1" s="1"/>
  <c r="M56" i="1"/>
  <c r="AA56" i="1" s="1"/>
  <c r="M57" i="1"/>
  <c r="AA57" i="1" s="1"/>
  <c r="M58" i="1"/>
  <c r="AA58" i="1" s="1"/>
  <c r="M59" i="1"/>
  <c r="AA59" i="1" s="1"/>
  <c r="M60" i="1"/>
  <c r="AA60" i="1" s="1"/>
  <c r="M61" i="1"/>
  <c r="AA61" i="1" s="1"/>
  <c r="M62" i="1"/>
  <c r="M63" i="1"/>
  <c r="AA63" i="1" s="1"/>
  <c r="M10" i="1"/>
  <c r="AA10" i="1" s="1"/>
  <c r="AB62" i="1"/>
  <c r="AB63" i="1"/>
  <c r="R2" i="4" l="1"/>
  <c r="AA69" i="1"/>
  <c r="S2" i="4"/>
  <c r="S4" i="4" s="1"/>
  <c r="T2" i="4"/>
  <c r="T4" i="4" s="1"/>
  <c r="R4" i="4"/>
  <c r="AA71" i="1"/>
  <c r="AA55" i="1"/>
  <c r="N65" i="1"/>
  <c r="AA67" i="1"/>
  <c r="AA12" i="1"/>
  <c r="AA44" i="1"/>
  <c r="AA48" i="1"/>
  <c r="AA14" i="1"/>
  <c r="AA68" i="1"/>
  <c r="AA66" i="1"/>
  <c r="S66" i="1"/>
  <c r="AA30" i="1"/>
  <c r="AA22" i="1"/>
  <c r="AA34" i="1"/>
  <c r="AA23" i="1"/>
  <c r="AA47" i="1"/>
  <c r="AA62" i="1"/>
  <c r="AA15" i="1"/>
  <c r="AB60" i="1"/>
  <c r="AB61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P11" i="1"/>
  <c r="P12" i="1"/>
  <c r="P13" i="1"/>
  <c r="P14" i="1"/>
  <c r="W14" i="1" s="1"/>
  <c r="P15" i="1"/>
  <c r="P16" i="1"/>
  <c r="P17" i="1"/>
  <c r="W17" i="1" s="1"/>
  <c r="P18" i="1"/>
  <c r="W18" i="1" s="1"/>
  <c r="P19" i="1"/>
  <c r="P20" i="1"/>
  <c r="W20" i="1" s="1"/>
  <c r="P21" i="1"/>
  <c r="P22" i="1"/>
  <c r="W22" i="1" s="1"/>
  <c r="P23" i="1"/>
  <c r="W23" i="1" s="1"/>
  <c r="P24" i="1"/>
  <c r="W24" i="1" s="1"/>
  <c r="P25" i="1"/>
  <c r="P26" i="1"/>
  <c r="P27" i="1"/>
  <c r="P28" i="1"/>
  <c r="P29" i="1"/>
  <c r="P30" i="1"/>
  <c r="P31" i="1"/>
  <c r="P32" i="1"/>
  <c r="P33" i="1"/>
  <c r="P34" i="1"/>
  <c r="W34" i="1" s="1"/>
  <c r="P35" i="1"/>
  <c r="P36" i="1"/>
  <c r="P37" i="1"/>
  <c r="P38" i="1"/>
  <c r="P39" i="1"/>
  <c r="P40" i="1"/>
  <c r="P41" i="1"/>
  <c r="P42" i="1"/>
  <c r="W42" i="1" s="1"/>
  <c r="P43" i="1"/>
  <c r="W43" i="1" s="1"/>
  <c r="P44" i="1"/>
  <c r="P45" i="1"/>
  <c r="W45" i="1" s="1"/>
  <c r="P46" i="1"/>
  <c r="W46" i="1" s="1"/>
  <c r="P47" i="1"/>
  <c r="P48" i="1"/>
  <c r="P49" i="1"/>
  <c r="P50" i="1"/>
  <c r="P51" i="1"/>
  <c r="P52" i="1"/>
  <c r="P53" i="1"/>
  <c r="P54" i="1"/>
  <c r="W54" i="1" s="1"/>
  <c r="P55" i="1"/>
  <c r="P56" i="1"/>
  <c r="W56" i="1" s="1"/>
  <c r="P57" i="1"/>
  <c r="W57" i="1" s="1"/>
  <c r="P58" i="1"/>
  <c r="W58" i="1" s="1"/>
  <c r="P59" i="1"/>
  <c r="W59" i="1" s="1"/>
  <c r="P60" i="1"/>
  <c r="P61" i="1"/>
  <c r="P62" i="1"/>
  <c r="P63" i="1"/>
  <c r="P64" i="1"/>
  <c r="P65" i="1"/>
  <c r="P66" i="1"/>
  <c r="P67" i="1"/>
  <c r="P68" i="1"/>
  <c r="P69" i="1"/>
  <c r="P70" i="1"/>
  <c r="AK70" i="1" s="1"/>
  <c r="P71" i="1"/>
  <c r="AK71" i="1" s="1"/>
  <c r="P72" i="1"/>
  <c r="P73" i="1"/>
  <c r="P74" i="1"/>
  <c r="P75" i="1"/>
  <c r="P76" i="1"/>
  <c r="P77" i="1"/>
  <c r="P78" i="1"/>
  <c r="Q78" i="1" s="1"/>
  <c r="P79" i="1"/>
  <c r="Q79" i="1" s="1"/>
  <c r="P80" i="1"/>
  <c r="Q80" i="1" s="1"/>
  <c r="P81" i="1"/>
  <c r="Q81" i="1" s="1"/>
  <c r="P10" i="1"/>
  <c r="Q76" i="1" l="1"/>
  <c r="X76" i="1"/>
  <c r="T76" i="1"/>
  <c r="AK76" i="1"/>
  <c r="N76" i="1"/>
  <c r="W76" i="1"/>
  <c r="S76" i="1"/>
  <c r="W64" i="1"/>
  <c r="AK64" i="1"/>
  <c r="AL64" i="1" s="1"/>
  <c r="Q75" i="1"/>
  <c r="AK75" i="1"/>
  <c r="T75" i="1"/>
  <c r="U75" i="1" s="1"/>
  <c r="X75" i="1"/>
  <c r="S75" i="1"/>
  <c r="W75" i="1"/>
  <c r="N75" i="1"/>
  <c r="Q74" i="1"/>
  <c r="AK74" i="1"/>
  <c r="T74" i="1"/>
  <c r="X74" i="1"/>
  <c r="W74" i="1"/>
  <c r="S74" i="1"/>
  <c r="Q73" i="1"/>
  <c r="T73" i="1"/>
  <c r="U73" i="1" s="1"/>
  <c r="S73" i="1"/>
  <c r="X73" i="1"/>
  <c r="W73" i="1"/>
  <c r="AK73" i="1"/>
  <c r="N73" i="1"/>
  <c r="Q72" i="1"/>
  <c r="S72" i="1"/>
  <c r="W72" i="1"/>
  <c r="T72" i="1"/>
  <c r="U72" i="1" s="1"/>
  <c r="AK72" i="1"/>
  <c r="X72" i="1"/>
  <c r="Y72" i="1" s="1"/>
  <c r="AL71" i="1"/>
  <c r="W69" i="1"/>
  <c r="AK69" i="1"/>
  <c r="W68" i="1"/>
  <c r="AK68" i="1"/>
  <c r="AL68" i="1" s="1"/>
  <c r="W67" i="1"/>
  <c r="AK67" i="1"/>
  <c r="W66" i="1"/>
  <c r="AK66" i="1"/>
  <c r="Q77" i="1"/>
  <c r="AK77" i="1"/>
  <c r="T77" i="1"/>
  <c r="U77" i="1" s="1"/>
  <c r="X77" i="1"/>
  <c r="N77" i="1"/>
  <c r="W77" i="1"/>
  <c r="S77" i="1"/>
  <c r="W65" i="1"/>
  <c r="AK65" i="1"/>
  <c r="AL65" i="1" s="1"/>
  <c r="N63" i="1"/>
  <c r="W63" i="1"/>
  <c r="N51" i="1"/>
  <c r="W51" i="1"/>
  <c r="N39" i="1"/>
  <c r="W39" i="1"/>
  <c r="N27" i="1"/>
  <c r="W27" i="1"/>
  <c r="Q15" i="1"/>
  <c r="AE15" i="1" s="1"/>
  <c r="W15" i="1"/>
  <c r="N62" i="1"/>
  <c r="W62" i="1"/>
  <c r="N50" i="1"/>
  <c r="W50" i="1"/>
  <c r="N38" i="1"/>
  <c r="W38" i="1"/>
  <c r="N26" i="1"/>
  <c r="W26" i="1"/>
  <c r="AB4" i="1"/>
  <c r="D16" i="3" s="1"/>
  <c r="S61" i="1"/>
  <c r="W61" i="1"/>
  <c r="AK49" i="1"/>
  <c r="W49" i="1"/>
  <c r="N37" i="1"/>
  <c r="W37" i="1"/>
  <c r="AK25" i="1"/>
  <c r="W25" i="1"/>
  <c r="AK13" i="1"/>
  <c r="W13" i="1"/>
  <c r="S60" i="1"/>
  <c r="W60" i="1"/>
  <c r="AK48" i="1"/>
  <c r="W48" i="1"/>
  <c r="N36" i="1"/>
  <c r="W36" i="1"/>
  <c r="AK12" i="1"/>
  <c r="W12" i="1"/>
  <c r="Q71" i="1"/>
  <c r="AJ71" i="1" s="1"/>
  <c r="W71" i="1"/>
  <c r="T71" i="1"/>
  <c r="S71" i="1"/>
  <c r="X71" i="1"/>
  <c r="Y71" i="1" s="1"/>
  <c r="AK47" i="1"/>
  <c r="W47" i="1"/>
  <c r="N35" i="1"/>
  <c r="W35" i="1"/>
  <c r="AK11" i="1"/>
  <c r="W11" i="1"/>
  <c r="N10" i="1"/>
  <c r="W10" i="1"/>
  <c r="Q70" i="1"/>
  <c r="AJ70" i="1" s="1"/>
  <c r="AL70" i="1" s="1"/>
  <c r="T70" i="1"/>
  <c r="S70" i="1"/>
  <c r="N70" i="1"/>
  <c r="W70" i="1"/>
  <c r="X70" i="1"/>
  <c r="Y70" i="1" s="1"/>
  <c r="N33" i="1"/>
  <c r="W33" i="1"/>
  <c r="N21" i="1"/>
  <c r="W21" i="1"/>
  <c r="AK44" i="1"/>
  <c r="W44" i="1"/>
  <c r="N32" i="1"/>
  <c r="W32" i="1"/>
  <c r="Q55" i="1"/>
  <c r="AJ55" i="1" s="1"/>
  <c r="W55" i="1"/>
  <c r="N31" i="1"/>
  <c r="W31" i="1"/>
  <c r="AK19" i="1"/>
  <c r="W19" i="1"/>
  <c r="S68" i="1"/>
  <c r="AK30" i="1"/>
  <c r="W30" i="1"/>
  <c r="N53" i="1"/>
  <c r="W53" i="1"/>
  <c r="N41" i="1"/>
  <c r="W41" i="1"/>
  <c r="N29" i="1"/>
  <c r="W29" i="1"/>
  <c r="N71" i="1"/>
  <c r="N52" i="1"/>
  <c r="W52" i="1"/>
  <c r="N40" i="1"/>
  <c r="W40" i="1"/>
  <c r="N28" i="1"/>
  <c r="W28" i="1"/>
  <c r="AK16" i="1"/>
  <c r="W16" i="1"/>
  <c r="Q69" i="1"/>
  <c r="AJ69" i="1" s="1"/>
  <c r="T69" i="1"/>
  <c r="X69" i="1"/>
  <c r="S69" i="1"/>
  <c r="Q68" i="1"/>
  <c r="AJ68" i="1" s="1"/>
  <c r="X68" i="1"/>
  <c r="Y68" i="1" s="1"/>
  <c r="T68" i="1"/>
  <c r="U68" i="1" s="1"/>
  <c r="Q67" i="1"/>
  <c r="AJ67" i="1" s="1"/>
  <c r="S67" i="1"/>
  <c r="X67" i="1"/>
  <c r="Y67" i="1" s="1"/>
  <c r="T67" i="1"/>
  <c r="Q66" i="1"/>
  <c r="AJ66" i="1" s="1"/>
  <c r="X66" i="1"/>
  <c r="Y66" i="1" s="1"/>
  <c r="T66" i="1"/>
  <c r="U66" i="1" s="1"/>
  <c r="Q65" i="1"/>
  <c r="AJ65" i="1" s="1"/>
  <c r="X65" i="1"/>
  <c r="T65" i="1"/>
  <c r="S65" i="1"/>
  <c r="X60" i="1"/>
  <c r="Y60" i="1" s="1"/>
  <c r="Q64" i="1"/>
  <c r="AJ64" i="1" s="1"/>
  <c r="N64" i="1"/>
  <c r="S64" i="1"/>
  <c r="X64" i="1"/>
  <c r="T64" i="1"/>
  <c r="U64" i="1" s="1"/>
  <c r="N67" i="1"/>
  <c r="N68" i="1"/>
  <c r="AK51" i="1"/>
  <c r="AK31" i="1"/>
  <c r="AK15" i="1"/>
  <c r="AK32" i="1"/>
  <c r="N16" i="1"/>
  <c r="N11" i="1"/>
  <c r="T60" i="1"/>
  <c r="AK59" i="1"/>
  <c r="N59" i="1"/>
  <c r="AK58" i="1"/>
  <c r="N58" i="1"/>
  <c r="AK46" i="1"/>
  <c r="N46" i="1"/>
  <c r="N60" i="1"/>
  <c r="AK57" i="1"/>
  <c r="N57" i="1"/>
  <c r="AK45" i="1"/>
  <c r="N45" i="1"/>
  <c r="N13" i="1"/>
  <c r="Q56" i="1"/>
  <c r="AJ56" i="1" s="1"/>
  <c r="N56" i="1"/>
  <c r="AK20" i="1"/>
  <c r="N20" i="1"/>
  <c r="AK43" i="1"/>
  <c r="N43" i="1"/>
  <c r="N49" i="1"/>
  <c r="Q54" i="1"/>
  <c r="AF54" i="1" s="1"/>
  <c r="N54" i="1"/>
  <c r="AK42" i="1"/>
  <c r="N42" i="1"/>
  <c r="Q18" i="1"/>
  <c r="AE18" i="1" s="1"/>
  <c r="N18" i="1"/>
  <c r="N61" i="1"/>
  <c r="AK17" i="1"/>
  <c r="N17" i="1"/>
  <c r="AK33" i="1"/>
  <c r="T61" i="1"/>
  <c r="AK56" i="1"/>
  <c r="AK55" i="1"/>
  <c r="AK54" i="1"/>
  <c r="X61" i="1"/>
  <c r="AK18" i="1"/>
  <c r="Q63" i="1"/>
  <c r="T63" i="1"/>
  <c r="AK63" i="1"/>
  <c r="X63" i="1"/>
  <c r="S63" i="1"/>
  <c r="Q62" i="1"/>
  <c r="X62" i="1"/>
  <c r="S62" i="1"/>
  <c r="T62" i="1"/>
  <c r="AK62" i="1"/>
  <c r="Q61" i="1"/>
  <c r="AK61" i="1"/>
  <c r="Q60" i="1"/>
  <c r="AK60" i="1"/>
  <c r="T53" i="1"/>
  <c r="AK53" i="1"/>
  <c r="Q41" i="1"/>
  <c r="AJ41" i="1" s="1"/>
  <c r="AK41" i="1"/>
  <c r="Q29" i="1"/>
  <c r="AJ29" i="1" s="1"/>
  <c r="AK29" i="1"/>
  <c r="Q17" i="1"/>
  <c r="AJ17" i="1" s="1"/>
  <c r="Q52" i="1"/>
  <c r="AJ52" i="1" s="1"/>
  <c r="AK52" i="1"/>
  <c r="Q40" i="1"/>
  <c r="AJ40" i="1" s="1"/>
  <c r="AK40" i="1"/>
  <c r="Q28" i="1"/>
  <c r="AJ28" i="1" s="1"/>
  <c r="AK28" i="1"/>
  <c r="AL28" i="1" s="1"/>
  <c r="Q16" i="1"/>
  <c r="AJ16" i="1" s="1"/>
  <c r="AL16" i="1" s="1"/>
  <c r="Q51" i="1"/>
  <c r="AJ51" i="1" s="1"/>
  <c r="X39" i="1"/>
  <c r="AK39" i="1"/>
  <c r="T27" i="1"/>
  <c r="AK27" i="1"/>
  <c r="X50" i="1"/>
  <c r="AK50" i="1"/>
  <c r="X38" i="1"/>
  <c r="AK38" i="1"/>
  <c r="T26" i="1"/>
  <c r="AK26" i="1"/>
  <c r="T14" i="1"/>
  <c r="AK14" i="1"/>
  <c r="X37" i="1"/>
  <c r="AK37" i="1"/>
  <c r="T36" i="1"/>
  <c r="AK36" i="1"/>
  <c r="X24" i="1"/>
  <c r="AK24" i="1"/>
  <c r="X59" i="1"/>
  <c r="Q47" i="1"/>
  <c r="AJ47" i="1" s="1"/>
  <c r="AL47" i="1" s="1"/>
  <c r="Q23" i="1"/>
  <c r="AJ23" i="1" s="1"/>
  <c r="Q11" i="1"/>
  <c r="AJ11" i="1" s="1"/>
  <c r="AK23" i="1"/>
  <c r="T10" i="1"/>
  <c r="AK10" i="1"/>
  <c r="Q46" i="1"/>
  <c r="AJ46" i="1" s="1"/>
  <c r="X34" i="1"/>
  <c r="Q22" i="1"/>
  <c r="AJ22" i="1" s="1"/>
  <c r="AK22" i="1"/>
  <c r="AL22" i="1" s="1"/>
  <c r="Q45" i="1"/>
  <c r="AJ45" i="1" s="1"/>
  <c r="X33" i="1"/>
  <c r="Y33" i="1" s="1"/>
  <c r="T21" i="1"/>
  <c r="AK21" i="1"/>
  <c r="AK35" i="1"/>
  <c r="AK34" i="1"/>
  <c r="T49" i="1"/>
  <c r="X13" i="1"/>
  <c r="X48" i="1"/>
  <c r="Q12" i="1"/>
  <c r="AJ12" i="1" s="1"/>
  <c r="Q44" i="1"/>
  <c r="AJ44" i="1" s="1"/>
  <c r="Q32" i="1"/>
  <c r="AJ32" i="1" s="1"/>
  <c r="Q20" i="1"/>
  <c r="AJ20" i="1" s="1"/>
  <c r="T43" i="1"/>
  <c r="Q31" i="1"/>
  <c r="AJ31" i="1" s="1"/>
  <c r="X19" i="1"/>
  <c r="X10" i="1"/>
  <c r="Q48" i="1"/>
  <c r="AJ48" i="1" s="1"/>
  <c r="AL48" i="1" s="1"/>
  <c r="Q36" i="1"/>
  <c r="AJ36" i="1" s="1"/>
  <c r="T19" i="1"/>
  <c r="Q24" i="1"/>
  <c r="AJ24" i="1" s="1"/>
  <c r="Q59" i="1"/>
  <c r="AJ59" i="1" s="1"/>
  <c r="Q58" i="1"/>
  <c r="AJ58" i="1" s="1"/>
  <c r="Q57" i="1"/>
  <c r="AJ57" i="1" s="1"/>
  <c r="Q21" i="1"/>
  <c r="AJ21" i="1" s="1"/>
  <c r="Q43" i="1"/>
  <c r="AJ43" i="1" s="1"/>
  <c r="Q19" i="1"/>
  <c r="AJ19" i="1" s="1"/>
  <c r="Q53" i="1"/>
  <c r="AJ53" i="1" s="1"/>
  <c r="Q10" i="1"/>
  <c r="AJ10" i="1" s="1"/>
  <c r="Q50" i="1"/>
  <c r="AJ50" i="1" s="1"/>
  <c r="Q38" i="1"/>
  <c r="AJ38" i="1" s="1"/>
  <c r="Q26" i="1"/>
  <c r="AJ26" i="1" s="1"/>
  <c r="Q14" i="1"/>
  <c r="AJ14" i="1" s="1"/>
  <c r="Q35" i="1"/>
  <c r="AJ35" i="1" s="1"/>
  <c r="Q34" i="1"/>
  <c r="AJ34" i="1" s="1"/>
  <c r="Q33" i="1"/>
  <c r="AJ33" i="1" s="1"/>
  <c r="Q42" i="1"/>
  <c r="AJ42" i="1" s="1"/>
  <c r="Q30" i="1"/>
  <c r="AJ30" i="1" s="1"/>
  <c r="AL30" i="1" s="1"/>
  <c r="Q39" i="1"/>
  <c r="AJ39" i="1" s="1"/>
  <c r="Q27" i="1"/>
  <c r="AJ27" i="1" s="1"/>
  <c r="S12" i="1"/>
  <c r="Q49" i="1"/>
  <c r="AJ49" i="1" s="1"/>
  <c r="AL49" i="1" s="1"/>
  <c r="Q37" i="1"/>
  <c r="AJ37" i="1" s="1"/>
  <c r="Q25" i="1"/>
  <c r="AJ25" i="1" s="1"/>
  <c r="Q13" i="1"/>
  <c r="AJ13" i="1" s="1"/>
  <c r="T35" i="1"/>
  <c r="T37" i="1"/>
  <c r="T33" i="1"/>
  <c r="S14" i="1"/>
  <c r="S37" i="1"/>
  <c r="T22" i="1"/>
  <c r="T38" i="1"/>
  <c r="T39" i="1"/>
  <c r="X27" i="1"/>
  <c r="X26" i="1"/>
  <c r="S57" i="1"/>
  <c r="T23" i="1"/>
  <c r="T50" i="1"/>
  <c r="X25" i="1"/>
  <c r="T24" i="1"/>
  <c r="T51" i="1"/>
  <c r="X15" i="1"/>
  <c r="T15" i="1"/>
  <c r="S38" i="1"/>
  <c r="S33" i="1"/>
  <c r="T25" i="1"/>
  <c r="X14" i="1"/>
  <c r="S25" i="1"/>
  <c r="X51" i="1"/>
  <c r="S24" i="1"/>
  <c r="X43" i="1"/>
  <c r="S13" i="1"/>
  <c r="T56" i="1"/>
  <c r="X56" i="1"/>
  <c r="T44" i="1"/>
  <c r="X32" i="1"/>
  <c r="S32" i="1"/>
  <c r="X20" i="1"/>
  <c r="S59" i="1"/>
  <c r="X31" i="1"/>
  <c r="T31" i="1"/>
  <c r="S31" i="1"/>
  <c r="S56" i="1"/>
  <c r="S26" i="1"/>
  <c r="T20" i="1"/>
  <c r="S50" i="1"/>
  <c r="T54" i="1"/>
  <c r="T42" i="1"/>
  <c r="X42" i="1"/>
  <c r="T30" i="1"/>
  <c r="X30" i="1"/>
  <c r="S30" i="1"/>
  <c r="T18" i="1"/>
  <c r="X18" i="1"/>
  <c r="S55" i="1"/>
  <c r="T41" i="1"/>
  <c r="X41" i="1"/>
  <c r="T29" i="1"/>
  <c r="S29" i="1"/>
  <c r="X17" i="1"/>
  <c r="T17" i="1"/>
  <c r="S54" i="1"/>
  <c r="S52" i="1"/>
  <c r="S40" i="1"/>
  <c r="T40" i="1"/>
  <c r="X40" i="1"/>
  <c r="S28" i="1"/>
  <c r="T28" i="1"/>
  <c r="T16" i="1"/>
  <c r="S16" i="1"/>
  <c r="X16" i="1"/>
  <c r="S53" i="1"/>
  <c r="S20" i="1"/>
  <c r="S44" i="1"/>
  <c r="S19" i="1"/>
  <c r="X55" i="1"/>
  <c r="X29" i="1"/>
  <c r="S43" i="1"/>
  <c r="S18" i="1"/>
  <c r="X54" i="1"/>
  <c r="X28" i="1"/>
  <c r="S42" i="1"/>
  <c r="S17" i="1"/>
  <c r="X53" i="1"/>
  <c r="S41" i="1"/>
  <c r="T52" i="1"/>
  <c r="X52" i="1"/>
  <c r="X47" i="1"/>
  <c r="T47" i="1"/>
  <c r="S47" i="1"/>
  <c r="X35" i="1"/>
  <c r="S35" i="1"/>
  <c r="X23" i="1"/>
  <c r="S23" i="1"/>
  <c r="X11" i="1"/>
  <c r="T11" i="1"/>
  <c r="S11" i="1"/>
  <c r="T32" i="1"/>
  <c r="T55" i="1"/>
  <c r="S48" i="1"/>
  <c r="X58" i="1"/>
  <c r="T58" i="1"/>
  <c r="X46" i="1"/>
  <c r="S46" i="1"/>
  <c r="T46" i="1"/>
  <c r="X22" i="1"/>
  <c r="S22" i="1"/>
  <c r="S10" i="1"/>
  <c r="T59" i="1"/>
  <c r="T57" i="1"/>
  <c r="X57" i="1"/>
  <c r="X45" i="1"/>
  <c r="S45" i="1"/>
  <c r="T45" i="1"/>
  <c r="U45" i="1" s="1"/>
  <c r="S21" i="1"/>
  <c r="X21" i="1"/>
  <c r="S58" i="1"/>
  <c r="S34" i="1"/>
  <c r="T34" i="1"/>
  <c r="X44" i="1"/>
  <c r="S49" i="1"/>
  <c r="X49" i="1"/>
  <c r="T13" i="1"/>
  <c r="X36" i="1"/>
  <c r="S36" i="1"/>
  <c r="X12" i="1"/>
  <c r="T12" i="1"/>
  <c r="T48" i="1"/>
  <c r="S51" i="1"/>
  <c r="S39" i="1"/>
  <c r="S27" i="1"/>
  <c r="S15" i="1"/>
  <c r="AF73" i="1" l="1"/>
  <c r="AG73" i="1" s="1"/>
  <c r="AJ73" i="1"/>
  <c r="AE73" i="1"/>
  <c r="AE56" i="1"/>
  <c r="AJ77" i="1"/>
  <c r="AL77" i="1" s="1"/>
  <c r="AF77" i="1"/>
  <c r="AE77" i="1"/>
  <c r="AL72" i="1"/>
  <c r="AJ75" i="1"/>
  <c r="AL75" i="1" s="1"/>
  <c r="AF75" i="1"/>
  <c r="AG75" i="1" s="1"/>
  <c r="AE75" i="1"/>
  <c r="AL66" i="1"/>
  <c r="Y74" i="1"/>
  <c r="AL67" i="1"/>
  <c r="U74" i="1"/>
  <c r="AL32" i="1"/>
  <c r="AJ72" i="1"/>
  <c r="AE72" i="1"/>
  <c r="AF72" i="1"/>
  <c r="AG72" i="1" s="1"/>
  <c r="AL74" i="1"/>
  <c r="AL58" i="1"/>
  <c r="AL44" i="1"/>
  <c r="AF74" i="1"/>
  <c r="AJ74" i="1"/>
  <c r="AE74" i="1"/>
  <c r="Y40" i="1"/>
  <c r="AE55" i="1"/>
  <c r="U60" i="1"/>
  <c r="AL73" i="1"/>
  <c r="AL76" i="1"/>
  <c r="AL69" i="1"/>
  <c r="U76" i="1"/>
  <c r="AL25" i="1"/>
  <c r="Y73" i="1"/>
  <c r="Y76" i="1"/>
  <c r="AL29" i="1"/>
  <c r="Y77" i="1"/>
  <c r="Y75" i="1"/>
  <c r="AJ76" i="1"/>
  <c r="AF76" i="1"/>
  <c r="AE76" i="1"/>
  <c r="T4" i="1"/>
  <c r="D4" i="3" s="1"/>
  <c r="AL11" i="1"/>
  <c r="AL19" i="1"/>
  <c r="AL31" i="1"/>
  <c r="Y62" i="1"/>
  <c r="AL45" i="1"/>
  <c r="AF55" i="1"/>
  <c r="AL55" i="1"/>
  <c r="AJ15" i="1"/>
  <c r="AL15" i="1" s="1"/>
  <c r="U70" i="1"/>
  <c r="U71" i="1"/>
  <c r="AF70" i="1"/>
  <c r="AE70" i="1"/>
  <c r="AF15" i="1"/>
  <c r="AG15" i="1" s="1"/>
  <c r="U61" i="1"/>
  <c r="X4" i="1"/>
  <c r="D10" i="3" s="1"/>
  <c r="AF71" i="1"/>
  <c r="AE71" i="1"/>
  <c r="AL13" i="1"/>
  <c r="AL12" i="1"/>
  <c r="AF64" i="1"/>
  <c r="AE64" i="1"/>
  <c r="AE67" i="1"/>
  <c r="AF67" i="1"/>
  <c r="U65" i="1"/>
  <c r="AJ18" i="1"/>
  <c r="AL18" i="1" s="1"/>
  <c r="Y65" i="1"/>
  <c r="AF68" i="1"/>
  <c r="AE68" i="1"/>
  <c r="AF65" i="1"/>
  <c r="AE65" i="1"/>
  <c r="Y69" i="1"/>
  <c r="AF18" i="1"/>
  <c r="AG18" i="1" s="1"/>
  <c r="Y64" i="1"/>
  <c r="AF66" i="1"/>
  <c r="AE66" i="1"/>
  <c r="U69" i="1"/>
  <c r="AL21" i="1"/>
  <c r="AL51" i="1"/>
  <c r="U67" i="1"/>
  <c r="AF69" i="1"/>
  <c r="AE69" i="1"/>
  <c r="AL46" i="1"/>
  <c r="AL56" i="1"/>
  <c r="AL57" i="1"/>
  <c r="AL20" i="1"/>
  <c r="AL24" i="1"/>
  <c r="AL50" i="1"/>
  <c r="AL59" i="1"/>
  <c r="AE54" i="1"/>
  <c r="AG54" i="1" s="1"/>
  <c r="AL40" i="1"/>
  <c r="AF56" i="1"/>
  <c r="AG56" i="1" s="1"/>
  <c r="AL26" i="1"/>
  <c r="AL17" i="1"/>
  <c r="Y57" i="1"/>
  <c r="Y37" i="1"/>
  <c r="AL42" i="1"/>
  <c r="AL43" i="1"/>
  <c r="AL38" i="1"/>
  <c r="U63" i="1"/>
  <c r="U53" i="1"/>
  <c r="Y50" i="1"/>
  <c r="AL33" i="1"/>
  <c r="AL41" i="1"/>
  <c r="Y63" i="1"/>
  <c r="AJ54" i="1"/>
  <c r="AL39" i="1"/>
  <c r="AL53" i="1"/>
  <c r="AL36" i="1"/>
  <c r="AL52" i="1"/>
  <c r="AL10" i="1"/>
  <c r="Y39" i="1"/>
  <c r="AE62" i="1"/>
  <c r="AJ62" i="1"/>
  <c r="AL62" i="1" s="1"/>
  <c r="AF62" i="1"/>
  <c r="U26" i="1"/>
  <c r="Y61" i="1"/>
  <c r="Y59" i="1"/>
  <c r="AL37" i="1"/>
  <c r="AJ61" i="1"/>
  <c r="AL61" i="1" s="1"/>
  <c r="AE61" i="1"/>
  <c r="AF61" i="1"/>
  <c r="AJ60" i="1"/>
  <c r="AL60" i="1" s="1"/>
  <c r="AE60" i="1"/>
  <c r="AF60" i="1"/>
  <c r="Y24" i="1"/>
  <c r="AL34" i="1"/>
  <c r="AL23" i="1"/>
  <c r="AL14" i="1"/>
  <c r="AL27" i="1"/>
  <c r="AB3" i="1"/>
  <c r="D15" i="3" s="1"/>
  <c r="AL35" i="1"/>
  <c r="U62" i="1"/>
  <c r="AJ63" i="1"/>
  <c r="AL63" i="1" s="1"/>
  <c r="AE63" i="1"/>
  <c r="AF63" i="1"/>
  <c r="AE35" i="1"/>
  <c r="AF35" i="1"/>
  <c r="AE58" i="1"/>
  <c r="AF58" i="1"/>
  <c r="AE32" i="1"/>
  <c r="AF32" i="1"/>
  <c r="U14" i="1"/>
  <c r="AF13" i="1"/>
  <c r="AE13" i="1"/>
  <c r="AF14" i="1"/>
  <c r="AE14" i="1"/>
  <c r="AE59" i="1"/>
  <c r="AF59" i="1"/>
  <c r="AF44" i="1"/>
  <c r="AE44" i="1"/>
  <c r="U36" i="1"/>
  <c r="AE25" i="1"/>
  <c r="AF25" i="1"/>
  <c r="AE26" i="1"/>
  <c r="AF26" i="1"/>
  <c r="AG26" i="1" s="1"/>
  <c r="AF12" i="1"/>
  <c r="AE12" i="1"/>
  <c r="AF47" i="1"/>
  <c r="AE47" i="1"/>
  <c r="AE51" i="1"/>
  <c r="AF51" i="1"/>
  <c r="AE52" i="1"/>
  <c r="AF52" i="1"/>
  <c r="U21" i="1"/>
  <c r="U43" i="1"/>
  <c r="AF37" i="1"/>
  <c r="AE37" i="1"/>
  <c r="AF38" i="1"/>
  <c r="AE38" i="1"/>
  <c r="AF24" i="1"/>
  <c r="AE24" i="1"/>
  <c r="AF46" i="1"/>
  <c r="AE46" i="1"/>
  <c r="U10" i="1"/>
  <c r="AE49" i="1"/>
  <c r="AF49" i="1"/>
  <c r="AE50" i="1"/>
  <c r="AF50" i="1"/>
  <c r="AG50" i="1" s="1"/>
  <c r="AF42" i="1"/>
  <c r="AE42" i="1"/>
  <c r="AE43" i="1"/>
  <c r="AF43" i="1"/>
  <c r="AG43" i="1" s="1"/>
  <c r="AE31" i="1"/>
  <c r="AF31" i="1"/>
  <c r="AE11" i="1"/>
  <c r="AF11" i="1"/>
  <c r="AG11" i="1" s="1"/>
  <c r="AF33" i="1"/>
  <c r="AE33" i="1"/>
  <c r="AF21" i="1"/>
  <c r="AE21" i="1"/>
  <c r="AE34" i="1"/>
  <c r="AF34" i="1"/>
  <c r="AF57" i="1"/>
  <c r="AE57" i="1"/>
  <c r="AF20" i="1"/>
  <c r="AE20" i="1"/>
  <c r="AF22" i="1"/>
  <c r="AE22" i="1"/>
  <c r="AF23" i="1"/>
  <c r="AE23" i="1"/>
  <c r="AE40" i="1"/>
  <c r="AF40" i="1"/>
  <c r="AG40" i="1" s="1"/>
  <c r="AE41" i="1"/>
  <c r="AF41" i="1"/>
  <c r="AF10" i="1"/>
  <c r="AE10" i="1"/>
  <c r="AF36" i="1"/>
  <c r="AE36" i="1"/>
  <c r="AE27" i="1"/>
  <c r="AF27" i="1"/>
  <c r="AG27" i="1" s="1"/>
  <c r="AE48" i="1"/>
  <c r="AF48" i="1"/>
  <c r="AF45" i="1"/>
  <c r="AE45" i="1"/>
  <c r="AE16" i="1"/>
  <c r="AF16" i="1"/>
  <c r="AE17" i="1"/>
  <c r="AF17" i="1"/>
  <c r="AG17" i="1" s="1"/>
  <c r="U27" i="1"/>
  <c r="Y34" i="1"/>
  <c r="AE39" i="1"/>
  <c r="AF39" i="1"/>
  <c r="AG39" i="1" s="1"/>
  <c r="AE53" i="1"/>
  <c r="AF53" i="1"/>
  <c r="Y38" i="1"/>
  <c r="U38" i="1"/>
  <c r="AE30" i="1"/>
  <c r="AF30" i="1"/>
  <c r="AE19" i="1"/>
  <c r="AF19" i="1"/>
  <c r="AG19" i="1" s="1"/>
  <c r="AE28" i="1"/>
  <c r="AF28" i="1"/>
  <c r="AE29" i="1"/>
  <c r="AF29" i="1"/>
  <c r="AG29" i="1" s="1"/>
  <c r="AB6" i="1"/>
  <c r="D18" i="3" s="1"/>
  <c r="Y13" i="1"/>
  <c r="U49" i="1"/>
  <c r="Y48" i="1"/>
  <c r="Y35" i="1"/>
  <c r="Y19" i="1"/>
  <c r="Y14" i="1"/>
  <c r="U37" i="1"/>
  <c r="U19" i="1"/>
  <c r="Y10" i="1"/>
  <c r="U28" i="1"/>
  <c r="Y25" i="1"/>
  <c r="Y51" i="1"/>
  <c r="Y46" i="1"/>
  <c r="Y32" i="1"/>
  <c r="Y15" i="1"/>
  <c r="Y36" i="1"/>
  <c r="U12" i="1"/>
  <c r="Y29" i="1"/>
  <c r="Y30" i="1"/>
  <c r="U22" i="1"/>
  <c r="Y44" i="1"/>
  <c r="U33" i="1"/>
  <c r="X6" i="1"/>
  <c r="D12" i="3" s="1"/>
  <c r="U40" i="1"/>
  <c r="T6" i="1"/>
  <c r="D6" i="3" s="1"/>
  <c r="U35" i="1"/>
  <c r="Y16" i="1"/>
  <c r="Y42" i="1"/>
  <c r="U48" i="1"/>
  <c r="Y43" i="1"/>
  <c r="Y27" i="1"/>
  <c r="U24" i="1"/>
  <c r="Y18" i="1"/>
  <c r="U51" i="1"/>
  <c r="U52" i="1"/>
  <c r="Y26" i="1"/>
  <c r="U42" i="1"/>
  <c r="U39" i="1"/>
  <c r="Y20" i="1"/>
  <c r="U59" i="1"/>
  <c r="Y58" i="1"/>
  <c r="Y11" i="1"/>
  <c r="Y55" i="1"/>
  <c r="U23" i="1"/>
  <c r="U50" i="1"/>
  <c r="U56" i="1"/>
  <c r="Y23" i="1"/>
  <c r="U20" i="1"/>
  <c r="Y45" i="1"/>
  <c r="Y53" i="1"/>
  <c r="U15" i="1"/>
  <c r="U57" i="1"/>
  <c r="U34" i="1"/>
  <c r="U46" i="1"/>
  <c r="U55" i="1"/>
  <c r="U25" i="1"/>
  <c r="U41" i="1"/>
  <c r="U30" i="1"/>
  <c r="U16" i="1"/>
  <c r="Y12" i="1"/>
  <c r="Y22" i="1"/>
  <c r="U47" i="1"/>
  <c r="U17" i="1"/>
  <c r="U31" i="1"/>
  <c r="Y17" i="1"/>
  <c r="U54" i="1"/>
  <c r="Y31" i="1"/>
  <c r="U32" i="1"/>
  <c r="Y47" i="1"/>
  <c r="Y28" i="1"/>
  <c r="U44" i="1"/>
  <c r="U13" i="1"/>
  <c r="Y21" i="1"/>
  <c r="Y54" i="1"/>
  <c r="U29" i="1"/>
  <c r="U18" i="1"/>
  <c r="Y49" i="1"/>
  <c r="U58" i="1"/>
  <c r="U11" i="1"/>
  <c r="Y52" i="1"/>
  <c r="Y41" i="1"/>
  <c r="Y56" i="1"/>
  <c r="AG70" i="1" l="1"/>
  <c r="AG76" i="1"/>
  <c r="AG77" i="1"/>
  <c r="AG55" i="1"/>
  <c r="AG25" i="1"/>
  <c r="AG32" i="1"/>
  <c r="AG74" i="1"/>
  <c r="AF4" i="1"/>
  <c r="D22" i="3" s="1"/>
  <c r="AG68" i="1"/>
  <c r="AG71" i="1"/>
  <c r="AG67" i="1"/>
  <c r="AK4" i="1"/>
  <c r="D28" i="3" s="1"/>
  <c r="AG66" i="1"/>
  <c r="AK6" i="1"/>
  <c r="D30" i="3" s="1"/>
  <c r="AG69" i="1"/>
  <c r="AG65" i="1"/>
  <c r="AG61" i="1"/>
  <c r="AG64" i="1"/>
  <c r="AG52" i="1"/>
  <c r="AG58" i="1"/>
  <c r="AG51" i="1"/>
  <c r="AG35" i="1"/>
  <c r="AG63" i="1"/>
  <c r="AG62" i="1"/>
  <c r="AL54" i="1"/>
  <c r="AK3" i="1" s="1"/>
  <c r="AG30" i="1"/>
  <c r="AG16" i="1"/>
  <c r="AG41" i="1"/>
  <c r="AG34" i="1"/>
  <c r="AG23" i="1"/>
  <c r="AG33" i="1"/>
  <c r="AG36" i="1"/>
  <c r="AG20" i="1"/>
  <c r="AG60" i="1"/>
  <c r="AB5" i="1"/>
  <c r="D17" i="3" s="1"/>
  <c r="X3" i="1"/>
  <c r="AF6" i="1"/>
  <c r="D24" i="3" s="1"/>
  <c r="AG24" i="1"/>
  <c r="AG47" i="1"/>
  <c r="AG10" i="1"/>
  <c r="AG57" i="1"/>
  <c r="AG14" i="1"/>
  <c r="AG38" i="1"/>
  <c r="AG12" i="1"/>
  <c r="AG42" i="1"/>
  <c r="AG13" i="1"/>
  <c r="AG37" i="1"/>
  <c r="AG45" i="1"/>
  <c r="AG21" i="1"/>
  <c r="AG53" i="1"/>
  <c r="AG48" i="1"/>
  <c r="AG49" i="1"/>
  <c r="AG22" i="1"/>
  <c r="AG44" i="1"/>
  <c r="AG28" i="1"/>
  <c r="AG31" i="1"/>
  <c r="AG46" i="1"/>
  <c r="AG59" i="1"/>
  <c r="T3" i="1"/>
  <c r="AK5" i="1" l="1"/>
  <c r="D29" i="3" s="1"/>
  <c r="D27" i="3"/>
  <c r="X5" i="1"/>
  <c r="D11" i="3" s="1"/>
  <c r="D9" i="3"/>
  <c r="T5" i="1"/>
  <c r="D5" i="3" s="1"/>
  <c r="D3" i="3"/>
  <c r="AF3" i="1"/>
  <c r="D21" i="3" s="1"/>
  <c r="AF5" i="1"/>
  <c r="D23" i="3" s="1"/>
</calcChain>
</file>

<file path=xl/sharedStrings.xml><?xml version="1.0" encoding="utf-8"?>
<sst xmlns="http://schemas.openxmlformats.org/spreadsheetml/2006/main" count="492" uniqueCount="108">
  <si>
    <t xml:space="preserve">null hypothesis: </t>
  </si>
  <si>
    <t>there is a positive edge in always betting on the underdog</t>
  </si>
  <si>
    <t>avg bet</t>
  </si>
  <si>
    <t>T1</t>
  </si>
  <si>
    <t>T2</t>
  </si>
  <si>
    <t>Canada</t>
  </si>
  <si>
    <t>Bosnia-Herzegovina</t>
  </si>
  <si>
    <t>USA</t>
  </si>
  <si>
    <t>Paraguay</t>
  </si>
  <si>
    <t xml:space="preserve">T1 win </t>
  </si>
  <si>
    <t>Draw</t>
  </si>
  <si>
    <t>T2 Win</t>
  </si>
  <si>
    <t>bet</t>
  </si>
  <si>
    <t>on</t>
  </si>
  <si>
    <t>result</t>
  </si>
  <si>
    <t>Qatar</t>
  </si>
  <si>
    <t>Switzerland</t>
  </si>
  <si>
    <t>Brazil</t>
  </si>
  <si>
    <t>Morocco</t>
  </si>
  <si>
    <t>Haiti</t>
  </si>
  <si>
    <t>Scotland</t>
  </si>
  <si>
    <t>Australia</t>
  </si>
  <si>
    <t>Turkey</t>
  </si>
  <si>
    <t>Germany</t>
  </si>
  <si>
    <t>Curcao</t>
  </si>
  <si>
    <t>Netherlands</t>
  </si>
  <si>
    <t>Japan</t>
  </si>
  <si>
    <t>Ivory Cost</t>
  </si>
  <si>
    <t>Ecuador</t>
  </si>
  <si>
    <t>Sweden</t>
  </si>
  <si>
    <t>Tunisia</t>
  </si>
  <si>
    <t>Czechia</t>
  </si>
  <si>
    <t>Mexico</t>
  </si>
  <si>
    <t>South Africa</t>
  </si>
  <si>
    <t>South Korea</t>
  </si>
  <si>
    <t>Curacao</t>
  </si>
  <si>
    <t>Norway</t>
  </si>
  <si>
    <t>France</t>
  </si>
  <si>
    <t>Senegal</t>
  </si>
  <si>
    <t>Iraq</t>
  </si>
  <si>
    <t>Cabo Verde</t>
  </si>
  <si>
    <t>Saudi Arabia</t>
  </si>
  <si>
    <t>Uruguay</t>
  </si>
  <si>
    <t>Spain</t>
  </si>
  <si>
    <t>Egypt</t>
  </si>
  <si>
    <t>Iran</t>
  </si>
  <si>
    <t>New Zeland</t>
  </si>
  <si>
    <t>Belgium</t>
  </si>
  <si>
    <t>Croatia</t>
  </si>
  <si>
    <t>Ghana</t>
  </si>
  <si>
    <t>Panama</t>
  </si>
  <si>
    <t>England</t>
  </si>
  <si>
    <t>Colombia</t>
  </si>
  <si>
    <t>Portugal</t>
  </si>
  <si>
    <t>Uzbekistan</t>
  </si>
  <si>
    <t>Algeria</t>
  </si>
  <si>
    <t>Austria</t>
  </si>
  <si>
    <t>Jordan</t>
  </si>
  <si>
    <t>Argentina</t>
  </si>
  <si>
    <t>T1 goal</t>
  </si>
  <si>
    <t>T2goal</t>
  </si>
  <si>
    <t>Portugalia</t>
  </si>
  <si>
    <t>DRC</t>
  </si>
  <si>
    <t>Ivory Coast</t>
  </si>
  <si>
    <t>Equador</t>
  </si>
  <si>
    <t>underdog</t>
  </si>
  <si>
    <t>win/loss</t>
  </si>
  <si>
    <t>payoff</t>
  </si>
  <si>
    <t>odds</t>
  </si>
  <si>
    <t>cost</t>
  </si>
  <si>
    <t>x</t>
  </si>
  <si>
    <t>favorite</t>
  </si>
  <si>
    <t>bet on underdog</t>
  </si>
  <si>
    <t>draw</t>
  </si>
  <si>
    <t>bet on draw</t>
  </si>
  <si>
    <t>yes/no</t>
  </si>
  <si>
    <t>bet against underdog</t>
  </si>
  <si>
    <t>bet against favorite</t>
  </si>
  <si>
    <t>winrate</t>
  </si>
  <si>
    <t>profit</t>
  </si>
  <si>
    <t>favorite won</t>
  </si>
  <si>
    <t>underdog won</t>
  </si>
  <si>
    <t>polymarket</t>
  </si>
  <si>
    <t>fifa.com</t>
  </si>
  <si>
    <t>null hypothesis failed</t>
  </si>
  <si>
    <t xml:space="preserve">betting on the underdog loses money by 58% </t>
  </si>
  <si>
    <t>bet on favorite</t>
  </si>
  <si>
    <t>noticable edge in betting against the favorite, but since betting on the underdog has negative alpha</t>
  </si>
  <si>
    <t>then the edge comes from the possibility of a draw</t>
  </si>
  <si>
    <t>note</t>
  </si>
  <si>
    <t>negative alpha due to the possibility of a draw</t>
  </si>
  <si>
    <t>no edge in betting on the favorite</t>
  </si>
  <si>
    <t>initial suspected edge was a mistake</t>
  </si>
  <si>
    <t>Strategia: obstaw remis jeśli P(Draw) &gt; 40%</t>
  </si>
  <si>
    <t>Strategia: zawsze obstaw faworyta</t>
  </si>
  <si>
    <t>Strategia: remis &gt;40%, inaczej faworyt jeśli ma &gt;60%</t>
  </si>
  <si>
    <t>S1 result</t>
  </si>
  <si>
    <t>S2 result</t>
  </si>
  <si>
    <t>S3 result</t>
  </si>
  <si>
    <t>bets</t>
  </si>
  <si>
    <t>crazy</t>
  </si>
  <si>
    <t>EV=p(p1​−1)+(1−p)(−1)=0.</t>
  </si>
  <si>
    <t>if this is your payout then you will never have an edge</t>
  </si>
  <si>
    <t>all the false positives in backtesting will come from delta</t>
  </si>
  <si>
    <r>
      <t xml:space="preserve">to have en edge you need </t>
    </r>
    <r>
      <rPr>
        <b/>
        <sz val="10"/>
        <color theme="1"/>
        <rFont val="Arial"/>
        <family val="2"/>
        <charset val="238"/>
      </rPr>
      <t xml:space="preserve">more precise </t>
    </r>
    <r>
      <rPr>
        <sz val="10"/>
        <color theme="1"/>
        <rFont val="Arial"/>
        <family val="2"/>
        <charset val="238"/>
      </rPr>
      <t>probabilities than the bookie makes</t>
    </r>
  </si>
  <si>
    <t>or when you have a mismatch between probability &amp; payoff</t>
  </si>
  <si>
    <t>no profit, you have to substract a 1</t>
  </si>
  <si>
    <t>from every win, the cost of the bet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</si>
</sst>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164" formatCode="&quot;$&quot;#,##0"/>
    <numFmt numFmtId="165" formatCode="&quot;$&quot;#,##0.00"/>
  </numFmts>
  <fonts count="4" x14ac:knownFonts="1">
    <font>
      <sz val="10"/>
      <color theme="1"/>
      <name val="Arial"/>
      <family val="2"/>
    </font>
    <font>
      <b/>
      <sz val="10"/>
      <color theme="1"/>
      <name val="Arial"/>
      <family val="2"/>
      <charset val="238"/>
    </font>
    <font>
      <sz val="10"/>
      <name val="Arial"/>
      <family val="2"/>
    </font>
    <font>
      <sz val="10"/>
      <color theme="1"/>
      <name val="Arial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6" fontId="0" fillId="0" borderId="0" xfId="0" applyNumberFormat="1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9" fontId="0" fillId="0" borderId="0" xfId="0" applyNumberFormat="1"/>
    <xf numFmtId="0" fontId="1" fillId="0" borderId="0" xfId="0" applyFont="1"/>
    <xf numFmtId="165" fontId="0" fillId="0" borderId="0" xfId="0" applyNumberFormat="1"/>
    <xf numFmtId="14" fontId="0" fillId="2" borderId="0" xfId="0" applyNumberFormat="1" applyFill="1"/>
    <xf numFmtId="0" fontId="0" fillId="2" borderId="0" xfId="0" applyFill="1"/>
    <xf numFmtId="2" fontId="0" fillId="2" borderId="0" xfId="0" applyNumberFormat="1" applyFill="1"/>
    <xf numFmtId="164" fontId="0" fillId="2" borderId="0" xfId="0" applyNumberFormat="1" applyFill="1"/>
    <xf numFmtId="1" fontId="0" fillId="2" borderId="0" xfId="0" applyNumberFormat="1" applyFill="1"/>
    <xf numFmtId="14" fontId="2" fillId="2" borderId="0" xfId="0" applyNumberFormat="1" applyFont="1" applyFill="1"/>
    <xf numFmtId="0" fontId="2" fillId="2" borderId="0" xfId="0" applyFont="1" applyFill="1"/>
    <xf numFmtId="2" fontId="2" fillId="2" borderId="0" xfId="0" applyNumberFormat="1" applyFont="1" applyFill="1"/>
    <xf numFmtId="164" fontId="2" fillId="2" borderId="0" xfId="0" applyNumberFormat="1" applyFont="1" applyFill="1"/>
    <xf numFmtId="1" fontId="2" fillId="2" borderId="0" xfId="0" applyNumberFormat="1" applyFont="1" applyFill="1"/>
  </cellXfs>
  <cellStyles count="1">
    <cellStyle name="Normal" xfId="0" builtinId="0"/>
  </cellStyles>
  <dxfs count="7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7414D-6AEB-40A0-ABC4-980189D5A524}">
  <dimension ref="B2:AM82"/>
  <sheetViews>
    <sheetView showGridLines="0" tabSelected="1" zoomScale="130" zoomScaleNormal="130" workbookViewId="0">
      <pane xSplit="4" ySplit="9" topLeftCell="U10" activePane="bottomRight" state="frozen"/>
      <selection pane="topRight" activeCell="E1" sqref="E1"/>
      <selection pane="bottomLeft" activeCell="A9" sqref="A9"/>
      <selection pane="bottomRight" activeCell="W10" sqref="W10"/>
    </sheetView>
  </sheetViews>
  <sheetFormatPr defaultRowHeight="13.2" x14ac:dyDescent="0.25"/>
  <cols>
    <col min="1" max="1" width="4.6640625" customWidth="1"/>
    <col min="2" max="2" width="9.109375" bestFit="1" customWidth="1"/>
    <col min="5" max="5" width="6.88671875" style="2" bestFit="1" customWidth="1"/>
    <col min="6" max="6" width="5.109375" style="2" bestFit="1" customWidth="1"/>
    <col min="7" max="7" width="6.88671875" style="2" bestFit="1" customWidth="1"/>
    <col min="9" max="9" width="3.5546875" style="3" bestFit="1" customWidth="1"/>
    <col min="11" max="11" width="7" style="4" bestFit="1" customWidth="1"/>
    <col min="12" max="12" width="6.5546875" style="4" bestFit="1" customWidth="1"/>
    <col min="16" max="18" width="8.88671875" customWidth="1"/>
    <col min="20" max="20" width="8.88671875" style="2"/>
  </cols>
  <sheetData>
    <row r="2" spans="2:38" x14ac:dyDescent="0.25">
      <c r="B2" t="s">
        <v>0</v>
      </c>
      <c r="E2"/>
      <c r="S2" t="s">
        <v>72</v>
      </c>
      <c r="W2" t="s">
        <v>86</v>
      </c>
      <c r="AA2" t="s">
        <v>74</v>
      </c>
      <c r="AE2" t="s">
        <v>77</v>
      </c>
      <c r="AJ2" t="s">
        <v>76</v>
      </c>
    </row>
    <row r="3" spans="2:38" s="7" customFormat="1" x14ac:dyDescent="0.25">
      <c r="B3" s="7" t="s">
        <v>1</v>
      </c>
      <c r="L3" s="9"/>
      <c r="M3" s="7" t="s">
        <v>73</v>
      </c>
      <c r="S3" s="7" t="s">
        <v>67</v>
      </c>
      <c r="T3" s="7">
        <f>+SUM(U9:U1048576)</f>
        <v>30.392028463680049</v>
      </c>
      <c r="W3" s="7" t="s">
        <v>67</v>
      </c>
      <c r="X3" s="7">
        <f>+SUM(Y9:Y1048576)</f>
        <v>68.868703958866746</v>
      </c>
      <c r="AA3" s="7" t="s">
        <v>67</v>
      </c>
      <c r="AB3" s="7">
        <f>+SUM(AC9:AC1048576)</f>
        <v>76.167876053222471</v>
      </c>
      <c r="AE3" s="7" t="s">
        <v>67</v>
      </c>
      <c r="AF3" s="7">
        <f>+SUM(AG9:AG1048576)</f>
        <v>78.087355884278182</v>
      </c>
      <c r="AJ3" s="7" t="s">
        <v>67</v>
      </c>
      <c r="AK3" s="7">
        <f>+SUM(AL9:AL1048576)</f>
        <v>51.778280984109195</v>
      </c>
    </row>
    <row r="4" spans="2:38" s="7" customFormat="1" x14ac:dyDescent="0.25">
      <c r="S4" s="7" t="s">
        <v>69</v>
      </c>
      <c r="T4" s="7">
        <f>+COUNT(S10:S81)</f>
        <v>72</v>
      </c>
      <c r="W4" s="7" t="s">
        <v>69</v>
      </c>
      <c r="X4" s="7">
        <f>+COUNT(W10:W81)</f>
        <v>72</v>
      </c>
      <c r="AA4" s="7" t="s">
        <v>69</v>
      </c>
      <c r="AB4" s="7">
        <f>+COUNT(AA10:AA81)</f>
        <v>72</v>
      </c>
      <c r="AE4" s="7" t="s">
        <v>69</v>
      </c>
      <c r="AF4" s="7">
        <f>+COUNT(AE10:AE81)</f>
        <v>72</v>
      </c>
      <c r="AJ4" s="7" t="s">
        <v>69</v>
      </c>
      <c r="AK4" s="7">
        <f>+COUNT(AJ10:AJ81)</f>
        <v>72</v>
      </c>
    </row>
    <row r="5" spans="2:38" x14ac:dyDescent="0.25">
      <c r="B5" t="s">
        <v>2</v>
      </c>
      <c r="C5" s="1">
        <v>1</v>
      </c>
      <c r="S5" t="s">
        <v>79</v>
      </c>
      <c r="T5" s="5">
        <f>+T3/T4-1</f>
        <v>-0.57788849355999927</v>
      </c>
      <c r="W5" t="s">
        <v>79</v>
      </c>
      <c r="X5" s="5">
        <f>+X3/X4-1</f>
        <v>-4.3490222793517441E-2</v>
      </c>
      <c r="AA5" t="s">
        <v>79</v>
      </c>
      <c r="AB5" s="5">
        <f>+AB3/AB4-1</f>
        <v>5.7887167405867634E-2</v>
      </c>
      <c r="AE5" t="s">
        <v>79</v>
      </c>
      <c r="AF5" s="5">
        <f>+AF3/AF4-1</f>
        <v>8.4546609503863612E-2</v>
      </c>
      <c r="AJ5" t="s">
        <v>79</v>
      </c>
      <c r="AK5" s="5">
        <f>+AK3/AK4-1</f>
        <v>-0.28085720855403895</v>
      </c>
    </row>
    <row r="6" spans="2:38" x14ac:dyDescent="0.25">
      <c r="D6" s="1"/>
      <c r="S6" t="s">
        <v>78</v>
      </c>
      <c r="T6" s="5">
        <f>+SUM(S10:S59)/COUNT(S10:S59)</f>
        <v>0.08</v>
      </c>
      <c r="W6" t="s">
        <v>78</v>
      </c>
      <c r="X6" s="5">
        <f>+SUM(W10:W59)/COUNT(W10:W59)</f>
        <v>0.64</v>
      </c>
      <c r="AA6" t="s">
        <v>78</v>
      </c>
      <c r="AB6" s="5">
        <f>+SUM(AA10:AA59)/COUNT(AA10:AA59)</f>
        <v>0.28000000000000003</v>
      </c>
      <c r="AE6" t="s">
        <v>78</v>
      </c>
      <c r="AF6" s="5">
        <f>+SUM(AE10:AE59)/COUNT(AE10:AE59)</f>
        <v>0.36</v>
      </c>
      <c r="AJ6" t="s">
        <v>78</v>
      </c>
      <c r="AK6" s="5">
        <f>+SUM(AJ10:AJ59)/COUNT(AJ10:AJ59)</f>
        <v>0.64</v>
      </c>
    </row>
    <row r="7" spans="2:38" x14ac:dyDescent="0.25">
      <c r="D7" s="2"/>
    </row>
    <row r="8" spans="2:38" x14ac:dyDescent="0.25">
      <c r="S8" t="s">
        <v>81</v>
      </c>
      <c r="W8" t="s">
        <v>80</v>
      </c>
      <c r="AA8" t="s">
        <v>73</v>
      </c>
      <c r="AE8" t="s">
        <v>77</v>
      </c>
      <c r="AJ8" t="s">
        <v>76</v>
      </c>
    </row>
    <row r="9" spans="2:38" x14ac:dyDescent="0.25">
      <c r="C9" t="s">
        <v>3</v>
      </c>
      <c r="D9" t="s">
        <v>4</v>
      </c>
      <c r="E9" s="2" t="s">
        <v>9</v>
      </c>
      <c r="F9" s="2" t="s">
        <v>10</v>
      </c>
      <c r="G9" s="2" t="s">
        <v>11</v>
      </c>
      <c r="I9" s="3" t="s">
        <v>12</v>
      </c>
      <c r="J9" s="2" t="s">
        <v>13</v>
      </c>
      <c r="K9" s="4" t="s">
        <v>59</v>
      </c>
      <c r="L9" s="4" t="s">
        <v>60</v>
      </c>
      <c r="M9" s="2" t="s">
        <v>14</v>
      </c>
      <c r="N9" s="2" t="s">
        <v>89</v>
      </c>
      <c r="P9" t="s">
        <v>65</v>
      </c>
      <c r="Q9" t="s">
        <v>71</v>
      </c>
      <c r="S9" t="s">
        <v>66</v>
      </c>
      <c r="T9" s="2" t="s">
        <v>68</v>
      </c>
      <c r="U9" t="s">
        <v>67</v>
      </c>
      <c r="W9" t="s">
        <v>66</v>
      </c>
      <c r="X9" s="2" t="s">
        <v>68</v>
      </c>
      <c r="Y9" t="s">
        <v>67</v>
      </c>
      <c r="AA9" t="s">
        <v>75</v>
      </c>
      <c r="AB9" t="s">
        <v>68</v>
      </c>
      <c r="AC9" t="s">
        <v>67</v>
      </c>
      <c r="AE9" t="s">
        <v>75</v>
      </c>
      <c r="AF9" t="s">
        <v>68</v>
      </c>
      <c r="AG9" t="s">
        <v>67</v>
      </c>
      <c r="AJ9" t="s">
        <v>75</v>
      </c>
      <c r="AK9" t="s">
        <v>68</v>
      </c>
      <c r="AL9" t="s">
        <v>67</v>
      </c>
    </row>
    <row r="10" spans="2:38" s="9" customFormat="1" x14ac:dyDescent="0.25">
      <c r="B10" s="8">
        <v>46184</v>
      </c>
      <c r="C10" s="9" t="s">
        <v>32</v>
      </c>
      <c r="D10" s="9" t="s">
        <v>33</v>
      </c>
      <c r="E10" s="10">
        <v>0.68500000000000005</v>
      </c>
      <c r="F10" s="10">
        <v>0.215</v>
      </c>
      <c r="G10" s="10">
        <v>0.105</v>
      </c>
      <c r="H10" s="10"/>
      <c r="I10" s="11"/>
      <c r="J10" s="10"/>
      <c r="K10" s="12">
        <v>2</v>
      </c>
      <c r="L10" s="12">
        <v>0</v>
      </c>
      <c r="M10" s="9" t="str">
        <f>+IF(K10&gt;L10,C10,IF(L10=K10,"draw",D10))</f>
        <v>Mexico</v>
      </c>
      <c r="N10" s="9" t="str">
        <f>IF(M10=P10,"dog win","fav win")</f>
        <v>fav win</v>
      </c>
      <c r="P10" s="9" t="str">
        <f t="shared" ref="P10:P41" si="0">+IF(G10&lt;E10,D10,C10)</f>
        <v>South Africa</v>
      </c>
      <c r="Q10" s="9" t="str">
        <f t="shared" ref="Q10:Q41" si="1">+IF(P10=C10,D10,C10)</f>
        <v>Mexico</v>
      </c>
      <c r="S10" s="9">
        <f t="shared" ref="S10:S41" si="2">+IF(P10=M10,1,0)</f>
        <v>0</v>
      </c>
      <c r="T10" s="10">
        <f t="shared" ref="T10:T41" si="3">+IF(P10=C10,E10,G10)</f>
        <v>0.105</v>
      </c>
      <c r="U10" s="10">
        <f t="shared" ref="U10:U59" si="4">1/T10*S10</f>
        <v>0</v>
      </c>
      <c r="W10" s="9">
        <f>+IF(P10=M10,0,IF(M10="draw",0,1))</f>
        <v>1</v>
      </c>
      <c r="X10" s="10">
        <f t="shared" ref="X10:X41" si="5">+IF(P10=C10,G10,E10)</f>
        <v>0.68500000000000005</v>
      </c>
      <c r="Y10" s="10">
        <f t="shared" ref="Y10:Y59" si="6">1/X10*W10</f>
        <v>1.4598540145985401</v>
      </c>
      <c r="AA10" s="9">
        <f>+IF(M10="draw",1,0)</f>
        <v>0</v>
      </c>
      <c r="AB10" s="10">
        <f>+F10</f>
        <v>0.215</v>
      </c>
      <c r="AC10" s="10">
        <f>1/AB10*AA10-IF(AA10=1,1,0)</f>
        <v>0</v>
      </c>
      <c r="AE10" s="9">
        <f t="shared" ref="AE10:AE59" si="7">+IF(Q10=M10,0,1)</f>
        <v>0</v>
      </c>
      <c r="AF10" s="10">
        <f t="shared" ref="AF10" si="8">1-IF(C10=Q10,E10,G10)</f>
        <v>0.31499999999999995</v>
      </c>
      <c r="AG10" s="10">
        <f t="shared" ref="AG10" si="9">1/AF10*AE10</f>
        <v>0</v>
      </c>
      <c r="AJ10" s="9">
        <f t="shared" ref="AJ10:AJ12" si="10">+IF(Q10=M10,1,0)</f>
        <v>1</v>
      </c>
      <c r="AK10" s="10">
        <f>1-IF(C10=P10,E10,G10)</f>
        <v>0.89500000000000002</v>
      </c>
      <c r="AL10" s="10">
        <f t="shared" ref="AL10:AL63" si="11">1/AK10*AJ10</f>
        <v>1.1173184357541899</v>
      </c>
    </row>
    <row r="11" spans="2:38" s="9" customFormat="1" x14ac:dyDescent="0.25">
      <c r="B11" s="8">
        <v>46184</v>
      </c>
      <c r="C11" s="9" t="s">
        <v>34</v>
      </c>
      <c r="D11" s="9" t="s">
        <v>31</v>
      </c>
      <c r="E11" s="10">
        <v>0.375</v>
      </c>
      <c r="F11" s="10">
        <v>0.315</v>
      </c>
      <c r="G11" s="10">
        <v>0.315</v>
      </c>
      <c r="H11" s="10"/>
      <c r="I11" s="11"/>
      <c r="J11" s="10"/>
      <c r="K11" s="12">
        <v>2</v>
      </c>
      <c r="L11" s="12">
        <v>1</v>
      </c>
      <c r="M11" s="9" t="str">
        <f t="shared" ref="M11:M70" si="12">+IF(K11&gt;L11,C11,IF(L11=K11,"draw",D11))</f>
        <v>South Korea</v>
      </c>
      <c r="N11" s="9" t="str">
        <f>IF(M11="draw","draw",IF(M11=P11,"dog win","fav win"))</f>
        <v>fav win</v>
      </c>
      <c r="P11" s="9" t="str">
        <f t="shared" si="0"/>
        <v>Czechia</v>
      </c>
      <c r="Q11" s="9" t="str">
        <f t="shared" si="1"/>
        <v>South Korea</v>
      </c>
      <c r="S11" s="9">
        <f t="shared" si="2"/>
        <v>0</v>
      </c>
      <c r="T11" s="10">
        <f t="shared" si="3"/>
        <v>0.315</v>
      </c>
      <c r="U11" s="10">
        <f t="shared" si="4"/>
        <v>0</v>
      </c>
      <c r="W11" s="9">
        <f t="shared" ref="W11:W77" si="13">+IF(P11=M11,0,IF(M11="draw",0,1))</f>
        <v>1</v>
      </c>
      <c r="X11" s="10">
        <f t="shared" si="5"/>
        <v>0.375</v>
      </c>
      <c r="Y11" s="10">
        <f t="shared" si="6"/>
        <v>2.6666666666666665</v>
      </c>
      <c r="AA11" s="9">
        <f t="shared" ref="AA11:AA69" si="14">+IF(M11="draw",1,0)</f>
        <v>0</v>
      </c>
      <c r="AB11" s="10">
        <f t="shared" ref="AB11:AB59" si="15">+F11</f>
        <v>0.315</v>
      </c>
      <c r="AC11" s="10">
        <f t="shared" ref="AC11:AC74" si="16">1/AB11*AA11-IF(AA11=1,1,0)</f>
        <v>0</v>
      </c>
      <c r="AE11" s="9">
        <f t="shared" si="7"/>
        <v>0</v>
      </c>
      <c r="AF11" s="10">
        <f t="shared" ref="AF11:AF59" si="17">1-IF(C11=Q11,E11,G11)</f>
        <v>0.625</v>
      </c>
      <c r="AG11" s="10">
        <f t="shared" ref="AG11:AG59" si="18">1/AF11*AE11</f>
        <v>0</v>
      </c>
      <c r="AJ11" s="9">
        <f t="shared" si="10"/>
        <v>1</v>
      </c>
      <c r="AK11" s="10">
        <f t="shared" ref="AK11:AK63" si="19">1-IF(C11=P11,E11,G11)</f>
        <v>0.68500000000000005</v>
      </c>
      <c r="AL11" s="10">
        <f t="shared" si="11"/>
        <v>1.4598540145985401</v>
      </c>
    </row>
    <row r="12" spans="2:38" s="9" customFormat="1" x14ac:dyDescent="0.25">
      <c r="B12" s="8">
        <v>46185</v>
      </c>
      <c r="C12" s="9" t="s">
        <v>5</v>
      </c>
      <c r="D12" s="9" t="s">
        <v>6</v>
      </c>
      <c r="E12" s="10">
        <v>0.54</v>
      </c>
      <c r="F12" s="10">
        <v>0.28000000000000003</v>
      </c>
      <c r="G12" s="10">
        <v>0.2</v>
      </c>
      <c r="H12" s="10"/>
      <c r="I12" s="11">
        <v>1</v>
      </c>
      <c r="J12" s="9" t="s">
        <v>6</v>
      </c>
      <c r="K12" s="12">
        <v>1</v>
      </c>
      <c r="L12" s="12">
        <v>1</v>
      </c>
      <c r="M12" s="9" t="str">
        <f t="shared" si="12"/>
        <v>draw</v>
      </c>
      <c r="N12" s="9" t="str">
        <f t="shared" ref="N12:N70" si="20">IF(M12="draw","draw",IF(M12=P12,"dog win","fav win"))</f>
        <v>draw</v>
      </c>
      <c r="P12" s="9" t="str">
        <f t="shared" si="0"/>
        <v>Bosnia-Herzegovina</v>
      </c>
      <c r="Q12" s="9" t="str">
        <f t="shared" si="1"/>
        <v>Canada</v>
      </c>
      <c r="S12" s="9">
        <f t="shared" si="2"/>
        <v>0</v>
      </c>
      <c r="T12" s="10">
        <f t="shared" si="3"/>
        <v>0.2</v>
      </c>
      <c r="U12" s="10">
        <f t="shared" si="4"/>
        <v>0</v>
      </c>
      <c r="W12" s="9">
        <f t="shared" si="13"/>
        <v>0</v>
      </c>
      <c r="X12" s="10">
        <f t="shared" si="5"/>
        <v>0.54</v>
      </c>
      <c r="Y12" s="10">
        <f t="shared" si="6"/>
        <v>0</v>
      </c>
      <c r="AA12" s="9">
        <f t="shared" si="14"/>
        <v>1</v>
      </c>
      <c r="AB12" s="10">
        <f t="shared" si="15"/>
        <v>0.28000000000000003</v>
      </c>
      <c r="AC12" s="10">
        <f t="shared" si="16"/>
        <v>2.5714285714285712</v>
      </c>
      <c r="AE12" s="9">
        <f t="shared" si="7"/>
        <v>1</v>
      </c>
      <c r="AF12" s="10">
        <f t="shared" si="17"/>
        <v>0.45999999999999996</v>
      </c>
      <c r="AG12" s="10">
        <f t="shared" si="18"/>
        <v>2.1739130434782612</v>
      </c>
      <c r="AJ12" s="9">
        <f t="shared" si="10"/>
        <v>0</v>
      </c>
      <c r="AK12" s="10">
        <f t="shared" si="19"/>
        <v>0.8</v>
      </c>
      <c r="AL12" s="10">
        <f t="shared" si="11"/>
        <v>0</v>
      </c>
    </row>
    <row r="13" spans="2:38" s="9" customFormat="1" x14ac:dyDescent="0.25">
      <c r="B13" s="8">
        <v>46185</v>
      </c>
      <c r="C13" s="9" t="s">
        <v>7</v>
      </c>
      <c r="D13" s="9" t="s">
        <v>8</v>
      </c>
      <c r="E13" s="10">
        <v>0.47</v>
      </c>
      <c r="F13" s="10">
        <v>0.3</v>
      </c>
      <c r="G13" s="10">
        <v>0.24</v>
      </c>
      <c r="H13" s="10"/>
      <c r="I13" s="11">
        <v>1</v>
      </c>
      <c r="J13" s="9" t="s">
        <v>8</v>
      </c>
      <c r="K13" s="12">
        <v>4</v>
      </c>
      <c r="L13" s="12">
        <v>1</v>
      </c>
      <c r="M13" s="9" t="str">
        <f t="shared" si="12"/>
        <v>USA</v>
      </c>
      <c r="N13" s="9" t="str">
        <f t="shared" si="20"/>
        <v>fav win</v>
      </c>
      <c r="P13" s="9" t="str">
        <f t="shared" si="0"/>
        <v>Paraguay</v>
      </c>
      <c r="Q13" s="9" t="str">
        <f t="shared" si="1"/>
        <v>USA</v>
      </c>
      <c r="S13" s="9">
        <f t="shared" si="2"/>
        <v>0</v>
      </c>
      <c r="T13" s="10">
        <f t="shared" si="3"/>
        <v>0.24</v>
      </c>
      <c r="U13" s="10">
        <f t="shared" si="4"/>
        <v>0</v>
      </c>
      <c r="W13" s="9">
        <f t="shared" si="13"/>
        <v>1</v>
      </c>
      <c r="X13" s="10">
        <f t="shared" si="5"/>
        <v>0.47</v>
      </c>
      <c r="Y13" s="10">
        <f t="shared" si="6"/>
        <v>2.1276595744680851</v>
      </c>
      <c r="AA13" s="9">
        <f t="shared" si="14"/>
        <v>0</v>
      </c>
      <c r="AB13" s="10">
        <f t="shared" si="15"/>
        <v>0.3</v>
      </c>
      <c r="AC13" s="10">
        <f t="shared" si="16"/>
        <v>0</v>
      </c>
      <c r="AE13" s="9">
        <f t="shared" si="7"/>
        <v>0</v>
      </c>
      <c r="AF13" s="10">
        <f t="shared" si="17"/>
        <v>0.53</v>
      </c>
      <c r="AG13" s="10">
        <f t="shared" si="18"/>
        <v>0</v>
      </c>
      <c r="AJ13" s="9">
        <f>+IF(Q13=M13,1,0)</f>
        <v>1</v>
      </c>
      <c r="AK13" s="10">
        <f t="shared" si="19"/>
        <v>0.76</v>
      </c>
      <c r="AL13" s="10">
        <f t="shared" si="11"/>
        <v>1.3157894736842106</v>
      </c>
    </row>
    <row r="14" spans="2:38" s="9" customFormat="1" x14ac:dyDescent="0.25">
      <c r="B14" s="8">
        <v>46186</v>
      </c>
      <c r="C14" s="9" t="s">
        <v>15</v>
      </c>
      <c r="D14" s="9" t="s">
        <v>16</v>
      </c>
      <c r="E14" s="10">
        <v>5.8999999999999997E-2</v>
      </c>
      <c r="F14" s="10">
        <v>0.14000000000000001</v>
      </c>
      <c r="G14" s="10">
        <v>0.81</v>
      </c>
      <c r="H14" s="10"/>
      <c r="I14" s="11">
        <v>1</v>
      </c>
      <c r="J14" s="9" t="s">
        <v>15</v>
      </c>
      <c r="K14" s="12">
        <v>1</v>
      </c>
      <c r="L14" s="12">
        <v>1</v>
      </c>
      <c r="M14" s="9" t="str">
        <f t="shared" si="12"/>
        <v>draw</v>
      </c>
      <c r="N14" s="9" t="str">
        <f t="shared" si="20"/>
        <v>draw</v>
      </c>
      <c r="P14" s="9" t="str">
        <f t="shared" si="0"/>
        <v>Qatar</v>
      </c>
      <c r="Q14" s="9" t="str">
        <f t="shared" si="1"/>
        <v>Switzerland</v>
      </c>
      <c r="S14" s="9">
        <f t="shared" si="2"/>
        <v>0</v>
      </c>
      <c r="T14" s="10">
        <f t="shared" si="3"/>
        <v>5.8999999999999997E-2</v>
      </c>
      <c r="U14" s="10">
        <f t="shared" si="4"/>
        <v>0</v>
      </c>
      <c r="W14" s="9">
        <f t="shared" si="13"/>
        <v>0</v>
      </c>
      <c r="X14" s="10">
        <f t="shared" si="5"/>
        <v>0.81</v>
      </c>
      <c r="Y14" s="10">
        <f t="shared" si="6"/>
        <v>0</v>
      </c>
      <c r="AA14" s="9">
        <f t="shared" si="14"/>
        <v>1</v>
      </c>
      <c r="AB14" s="10">
        <f t="shared" si="15"/>
        <v>0.14000000000000001</v>
      </c>
      <c r="AC14" s="10">
        <f t="shared" si="16"/>
        <v>6.1428571428571423</v>
      </c>
      <c r="AE14" s="9">
        <f t="shared" si="7"/>
        <v>1</v>
      </c>
      <c r="AF14" s="10">
        <f t="shared" si="17"/>
        <v>0.18999999999999995</v>
      </c>
      <c r="AG14" s="10">
        <f t="shared" si="18"/>
        <v>5.2631578947368434</v>
      </c>
      <c r="AJ14" s="9">
        <f t="shared" ref="AJ14:AJ63" si="21">+IF(Q14=M14,1,0)</f>
        <v>0</v>
      </c>
      <c r="AK14" s="10">
        <f t="shared" si="19"/>
        <v>0.94100000000000006</v>
      </c>
      <c r="AL14" s="10">
        <f t="shared" si="11"/>
        <v>0</v>
      </c>
    </row>
    <row r="15" spans="2:38" s="9" customFormat="1" x14ac:dyDescent="0.25">
      <c r="B15" s="8">
        <v>46186</v>
      </c>
      <c r="C15" s="9" t="s">
        <v>17</v>
      </c>
      <c r="D15" s="9" t="s">
        <v>18</v>
      </c>
      <c r="E15" s="10">
        <v>0.6</v>
      </c>
      <c r="F15" s="10">
        <v>0.25</v>
      </c>
      <c r="G15" s="10">
        <v>0.17</v>
      </c>
      <c r="H15" s="10"/>
      <c r="I15" s="11">
        <v>1</v>
      </c>
      <c r="J15" s="9" t="s">
        <v>18</v>
      </c>
      <c r="K15" s="12">
        <v>1</v>
      </c>
      <c r="L15" s="12">
        <v>1</v>
      </c>
      <c r="M15" s="9" t="str">
        <f t="shared" si="12"/>
        <v>draw</v>
      </c>
      <c r="N15" s="9" t="str">
        <f t="shared" si="20"/>
        <v>draw</v>
      </c>
      <c r="P15" s="9" t="str">
        <f t="shared" si="0"/>
        <v>Morocco</v>
      </c>
      <c r="Q15" s="9" t="str">
        <f t="shared" si="1"/>
        <v>Brazil</v>
      </c>
      <c r="S15" s="9">
        <f t="shared" si="2"/>
        <v>0</v>
      </c>
      <c r="T15" s="10">
        <f t="shared" si="3"/>
        <v>0.17</v>
      </c>
      <c r="U15" s="10">
        <f t="shared" si="4"/>
        <v>0</v>
      </c>
      <c r="W15" s="9">
        <f t="shared" si="13"/>
        <v>0</v>
      </c>
      <c r="X15" s="10">
        <f t="shared" si="5"/>
        <v>0.6</v>
      </c>
      <c r="Y15" s="10">
        <f t="shared" si="6"/>
        <v>0</v>
      </c>
      <c r="AA15" s="9">
        <f t="shared" si="14"/>
        <v>1</v>
      </c>
      <c r="AB15" s="10">
        <f t="shared" si="15"/>
        <v>0.25</v>
      </c>
      <c r="AC15" s="10">
        <f t="shared" si="16"/>
        <v>3</v>
      </c>
      <c r="AE15" s="9">
        <f t="shared" si="7"/>
        <v>1</v>
      </c>
      <c r="AF15" s="10">
        <f t="shared" si="17"/>
        <v>0.4</v>
      </c>
      <c r="AG15" s="10">
        <f t="shared" si="18"/>
        <v>2.5</v>
      </c>
      <c r="AJ15" s="9">
        <f t="shared" si="21"/>
        <v>0</v>
      </c>
      <c r="AK15" s="10">
        <f t="shared" si="19"/>
        <v>0.83</v>
      </c>
      <c r="AL15" s="10">
        <f t="shared" si="11"/>
        <v>0</v>
      </c>
    </row>
    <row r="16" spans="2:38" s="9" customFormat="1" x14ac:dyDescent="0.25">
      <c r="B16" s="8">
        <v>46186</v>
      </c>
      <c r="C16" s="9" t="s">
        <v>19</v>
      </c>
      <c r="D16" s="9" t="s">
        <v>20</v>
      </c>
      <c r="E16" s="10">
        <v>0.16</v>
      </c>
      <c r="F16" s="10">
        <v>0.23</v>
      </c>
      <c r="G16" s="10">
        <v>0.62</v>
      </c>
      <c r="H16" s="10"/>
      <c r="I16" s="11">
        <v>1</v>
      </c>
      <c r="J16" s="9" t="s">
        <v>19</v>
      </c>
      <c r="K16" s="12">
        <v>0</v>
      </c>
      <c r="L16" s="12">
        <v>1</v>
      </c>
      <c r="M16" s="9" t="str">
        <f t="shared" si="12"/>
        <v>Scotland</v>
      </c>
      <c r="N16" s="9" t="str">
        <f t="shared" si="20"/>
        <v>fav win</v>
      </c>
      <c r="P16" s="9" t="str">
        <f t="shared" si="0"/>
        <v>Haiti</v>
      </c>
      <c r="Q16" s="9" t="str">
        <f t="shared" si="1"/>
        <v>Scotland</v>
      </c>
      <c r="S16" s="9">
        <f t="shared" si="2"/>
        <v>0</v>
      </c>
      <c r="T16" s="10">
        <f t="shared" si="3"/>
        <v>0.16</v>
      </c>
      <c r="U16" s="10">
        <f t="shared" si="4"/>
        <v>0</v>
      </c>
      <c r="W16" s="9">
        <f t="shared" si="13"/>
        <v>1</v>
      </c>
      <c r="X16" s="10">
        <f t="shared" si="5"/>
        <v>0.62</v>
      </c>
      <c r="Y16" s="10">
        <f t="shared" si="6"/>
        <v>1.6129032258064517</v>
      </c>
      <c r="AA16" s="9">
        <f t="shared" si="14"/>
        <v>0</v>
      </c>
      <c r="AB16" s="10">
        <f t="shared" si="15"/>
        <v>0.23</v>
      </c>
      <c r="AC16" s="10">
        <f t="shared" si="16"/>
        <v>0</v>
      </c>
      <c r="AE16" s="9">
        <f t="shared" si="7"/>
        <v>0</v>
      </c>
      <c r="AF16" s="10">
        <f t="shared" si="17"/>
        <v>0.38</v>
      </c>
      <c r="AG16" s="10">
        <f t="shared" si="18"/>
        <v>0</v>
      </c>
      <c r="AJ16" s="9">
        <f t="shared" si="21"/>
        <v>1</v>
      </c>
      <c r="AK16" s="10">
        <f t="shared" si="19"/>
        <v>0.84</v>
      </c>
      <c r="AL16" s="10">
        <f t="shared" si="11"/>
        <v>1.1904761904761905</v>
      </c>
    </row>
    <row r="17" spans="2:38" s="9" customFormat="1" x14ac:dyDescent="0.25">
      <c r="B17" s="8">
        <v>46187</v>
      </c>
      <c r="C17" s="9" t="s">
        <v>21</v>
      </c>
      <c r="D17" s="9" t="s">
        <v>22</v>
      </c>
      <c r="E17" s="10">
        <v>0.19</v>
      </c>
      <c r="F17" s="10">
        <v>0.26</v>
      </c>
      <c r="G17" s="10">
        <v>0.56999999999999995</v>
      </c>
      <c r="H17" s="10"/>
      <c r="I17" s="11"/>
      <c r="K17" s="12">
        <v>2</v>
      </c>
      <c r="L17" s="12">
        <v>0</v>
      </c>
      <c r="M17" s="9" t="str">
        <f t="shared" si="12"/>
        <v>Australia</v>
      </c>
      <c r="N17" s="9" t="str">
        <f t="shared" si="20"/>
        <v>dog win</v>
      </c>
      <c r="P17" s="9" t="str">
        <f t="shared" si="0"/>
        <v>Australia</v>
      </c>
      <c r="Q17" s="9" t="str">
        <f t="shared" si="1"/>
        <v>Turkey</v>
      </c>
      <c r="S17" s="9">
        <f t="shared" si="2"/>
        <v>1</v>
      </c>
      <c r="T17" s="10">
        <f t="shared" si="3"/>
        <v>0.19</v>
      </c>
      <c r="U17" s="10">
        <f t="shared" si="4"/>
        <v>5.2631578947368425</v>
      </c>
      <c r="W17" s="9">
        <f t="shared" si="13"/>
        <v>0</v>
      </c>
      <c r="X17" s="10">
        <f t="shared" si="5"/>
        <v>0.56999999999999995</v>
      </c>
      <c r="Y17" s="10">
        <f t="shared" si="6"/>
        <v>0</v>
      </c>
      <c r="AA17" s="9">
        <f t="shared" si="14"/>
        <v>0</v>
      </c>
      <c r="AB17" s="10">
        <f t="shared" si="15"/>
        <v>0.26</v>
      </c>
      <c r="AC17" s="10">
        <f t="shared" si="16"/>
        <v>0</v>
      </c>
      <c r="AE17" s="9">
        <f t="shared" si="7"/>
        <v>1</v>
      </c>
      <c r="AF17" s="10">
        <f t="shared" si="17"/>
        <v>0.43000000000000005</v>
      </c>
      <c r="AG17" s="10">
        <f t="shared" si="18"/>
        <v>2.3255813953488369</v>
      </c>
      <c r="AJ17" s="9">
        <f t="shared" si="21"/>
        <v>0</v>
      </c>
      <c r="AK17" s="10">
        <f t="shared" si="19"/>
        <v>0.81</v>
      </c>
      <c r="AL17" s="10">
        <f t="shared" si="11"/>
        <v>0</v>
      </c>
    </row>
    <row r="18" spans="2:38" s="9" customFormat="1" x14ac:dyDescent="0.25">
      <c r="B18" s="8">
        <v>46187</v>
      </c>
      <c r="C18" s="9" t="s">
        <v>23</v>
      </c>
      <c r="D18" s="9" t="s">
        <v>24</v>
      </c>
      <c r="E18" s="10">
        <v>0.94099999999999995</v>
      </c>
      <c r="F18" s="10">
        <v>0.04</v>
      </c>
      <c r="G18" s="10">
        <v>2.1999999999999999E-2</v>
      </c>
      <c r="H18" s="10"/>
      <c r="I18" s="11"/>
      <c r="K18" s="12">
        <v>7</v>
      </c>
      <c r="L18" s="12">
        <v>1</v>
      </c>
      <c r="M18" s="9" t="str">
        <f t="shared" si="12"/>
        <v>Germany</v>
      </c>
      <c r="N18" s="9" t="str">
        <f t="shared" si="20"/>
        <v>fav win</v>
      </c>
      <c r="P18" s="9" t="str">
        <f t="shared" si="0"/>
        <v>Curcao</v>
      </c>
      <c r="Q18" s="9" t="str">
        <f t="shared" si="1"/>
        <v>Germany</v>
      </c>
      <c r="S18" s="9">
        <f t="shared" si="2"/>
        <v>0</v>
      </c>
      <c r="T18" s="10">
        <f t="shared" si="3"/>
        <v>2.1999999999999999E-2</v>
      </c>
      <c r="U18" s="10">
        <f t="shared" si="4"/>
        <v>0</v>
      </c>
      <c r="W18" s="9">
        <f t="shared" si="13"/>
        <v>1</v>
      </c>
      <c r="X18" s="10">
        <f t="shared" si="5"/>
        <v>0.94099999999999995</v>
      </c>
      <c r="Y18" s="10">
        <f t="shared" si="6"/>
        <v>1.0626992561105209</v>
      </c>
      <c r="AA18" s="9">
        <f t="shared" si="14"/>
        <v>0</v>
      </c>
      <c r="AB18" s="10">
        <f t="shared" si="15"/>
        <v>0.04</v>
      </c>
      <c r="AC18" s="10">
        <f t="shared" si="16"/>
        <v>0</v>
      </c>
      <c r="AE18" s="9">
        <f t="shared" si="7"/>
        <v>0</v>
      </c>
      <c r="AF18" s="10">
        <f t="shared" si="17"/>
        <v>5.9000000000000052E-2</v>
      </c>
      <c r="AG18" s="10">
        <f t="shared" si="18"/>
        <v>0</v>
      </c>
      <c r="AJ18" s="9">
        <f t="shared" si="21"/>
        <v>1</v>
      </c>
      <c r="AK18" s="10">
        <f t="shared" si="19"/>
        <v>0.97799999999999998</v>
      </c>
      <c r="AL18" s="10">
        <f t="shared" si="11"/>
        <v>1.0224948875255624</v>
      </c>
    </row>
    <row r="19" spans="2:38" s="9" customFormat="1" x14ac:dyDescent="0.25">
      <c r="B19" s="8">
        <v>46187</v>
      </c>
      <c r="C19" s="9" t="s">
        <v>25</v>
      </c>
      <c r="D19" s="9" t="s">
        <v>26</v>
      </c>
      <c r="E19" s="10">
        <v>0.49</v>
      </c>
      <c r="F19" s="10">
        <v>0.27</v>
      </c>
      <c r="G19" s="10">
        <v>0.26</v>
      </c>
      <c r="H19" s="10"/>
      <c r="I19" s="11"/>
      <c r="K19" s="12">
        <v>2</v>
      </c>
      <c r="L19" s="12">
        <v>2</v>
      </c>
      <c r="M19" s="9" t="str">
        <f t="shared" si="12"/>
        <v>draw</v>
      </c>
      <c r="N19" s="9" t="str">
        <f t="shared" si="20"/>
        <v>draw</v>
      </c>
      <c r="P19" s="9" t="str">
        <f t="shared" si="0"/>
        <v>Japan</v>
      </c>
      <c r="Q19" s="9" t="str">
        <f t="shared" si="1"/>
        <v>Netherlands</v>
      </c>
      <c r="S19" s="9">
        <f t="shared" si="2"/>
        <v>0</v>
      </c>
      <c r="T19" s="10">
        <f t="shared" si="3"/>
        <v>0.26</v>
      </c>
      <c r="U19" s="10">
        <f t="shared" si="4"/>
        <v>0</v>
      </c>
      <c r="W19" s="9">
        <f t="shared" si="13"/>
        <v>0</v>
      </c>
      <c r="X19" s="10">
        <f t="shared" si="5"/>
        <v>0.49</v>
      </c>
      <c r="Y19" s="10">
        <f t="shared" si="6"/>
        <v>0</v>
      </c>
      <c r="AA19" s="9">
        <f t="shared" si="14"/>
        <v>1</v>
      </c>
      <c r="AB19" s="10">
        <f t="shared" si="15"/>
        <v>0.27</v>
      </c>
      <c r="AC19" s="10">
        <f t="shared" si="16"/>
        <v>2.7037037037037033</v>
      </c>
      <c r="AE19" s="9">
        <f t="shared" si="7"/>
        <v>1</v>
      </c>
      <c r="AF19" s="10">
        <f t="shared" si="17"/>
        <v>0.51</v>
      </c>
      <c r="AG19" s="10">
        <f t="shared" si="18"/>
        <v>1.9607843137254901</v>
      </c>
      <c r="AJ19" s="9">
        <f t="shared" si="21"/>
        <v>0</v>
      </c>
      <c r="AK19" s="10">
        <f t="shared" si="19"/>
        <v>0.74</v>
      </c>
      <c r="AL19" s="10">
        <f t="shared" si="11"/>
        <v>0</v>
      </c>
    </row>
    <row r="20" spans="2:38" s="14" customFormat="1" x14ac:dyDescent="0.25">
      <c r="B20" s="13">
        <v>46187</v>
      </c>
      <c r="C20" s="14" t="s">
        <v>27</v>
      </c>
      <c r="D20" s="14" t="s">
        <v>28</v>
      </c>
      <c r="E20" s="15">
        <v>0.27</v>
      </c>
      <c r="F20" s="15">
        <v>0.34</v>
      </c>
      <c r="G20" s="15">
        <v>0.4</v>
      </c>
      <c r="H20" s="15"/>
      <c r="I20" s="16"/>
      <c r="K20" s="17">
        <v>1</v>
      </c>
      <c r="L20" s="17">
        <v>0</v>
      </c>
      <c r="M20" s="9" t="str">
        <f t="shared" si="12"/>
        <v>Ivory Cost</v>
      </c>
      <c r="N20" s="9" t="str">
        <f t="shared" si="20"/>
        <v>dog win</v>
      </c>
      <c r="P20" s="14" t="str">
        <f t="shared" si="0"/>
        <v>Ivory Cost</v>
      </c>
      <c r="Q20" s="14" t="str">
        <f t="shared" si="1"/>
        <v>Ecuador</v>
      </c>
      <c r="S20" s="14">
        <f t="shared" si="2"/>
        <v>1</v>
      </c>
      <c r="T20" s="15">
        <f t="shared" si="3"/>
        <v>0.27</v>
      </c>
      <c r="U20" s="15">
        <f t="shared" si="4"/>
        <v>3.7037037037037033</v>
      </c>
      <c r="W20" s="9">
        <f t="shared" si="13"/>
        <v>0</v>
      </c>
      <c r="X20" s="15">
        <f t="shared" si="5"/>
        <v>0.4</v>
      </c>
      <c r="Y20" s="15">
        <f t="shared" si="6"/>
        <v>0</v>
      </c>
      <c r="AA20" s="14">
        <f t="shared" si="14"/>
        <v>0</v>
      </c>
      <c r="AB20" s="15">
        <f t="shared" si="15"/>
        <v>0.34</v>
      </c>
      <c r="AC20" s="10">
        <f t="shared" si="16"/>
        <v>0</v>
      </c>
      <c r="AE20" s="14">
        <f t="shared" si="7"/>
        <v>1</v>
      </c>
      <c r="AF20" s="15">
        <f t="shared" si="17"/>
        <v>0.6</v>
      </c>
      <c r="AG20" s="15">
        <f t="shared" si="18"/>
        <v>1.6666666666666667</v>
      </c>
      <c r="AJ20" s="14">
        <f t="shared" si="21"/>
        <v>0</v>
      </c>
      <c r="AK20" s="15">
        <f t="shared" si="19"/>
        <v>0.73</v>
      </c>
      <c r="AL20" s="15">
        <f t="shared" si="11"/>
        <v>0</v>
      </c>
    </row>
    <row r="21" spans="2:38" s="9" customFormat="1" x14ac:dyDescent="0.25">
      <c r="B21" s="8">
        <v>46187</v>
      </c>
      <c r="C21" s="9" t="s">
        <v>29</v>
      </c>
      <c r="D21" s="9" t="s">
        <v>30</v>
      </c>
      <c r="E21" s="10">
        <v>0.52</v>
      </c>
      <c r="F21" s="10">
        <v>0.28000000000000003</v>
      </c>
      <c r="G21" s="10">
        <v>0.22</v>
      </c>
      <c r="H21" s="10"/>
      <c r="I21" s="11"/>
      <c r="K21" s="12">
        <v>5</v>
      </c>
      <c r="L21" s="12">
        <v>1</v>
      </c>
      <c r="M21" s="9" t="str">
        <f t="shared" si="12"/>
        <v>Sweden</v>
      </c>
      <c r="N21" s="9" t="str">
        <f t="shared" si="20"/>
        <v>fav win</v>
      </c>
      <c r="P21" s="9" t="str">
        <f t="shared" si="0"/>
        <v>Tunisia</v>
      </c>
      <c r="Q21" s="9" t="str">
        <f t="shared" si="1"/>
        <v>Sweden</v>
      </c>
      <c r="S21" s="9">
        <f t="shared" si="2"/>
        <v>0</v>
      </c>
      <c r="T21" s="10">
        <f t="shared" si="3"/>
        <v>0.22</v>
      </c>
      <c r="U21" s="10">
        <f t="shared" si="4"/>
        <v>0</v>
      </c>
      <c r="W21" s="9">
        <f t="shared" si="13"/>
        <v>1</v>
      </c>
      <c r="X21" s="10">
        <f t="shared" si="5"/>
        <v>0.52</v>
      </c>
      <c r="Y21" s="10">
        <f t="shared" si="6"/>
        <v>1.9230769230769229</v>
      </c>
      <c r="AA21" s="9">
        <f t="shared" si="14"/>
        <v>0</v>
      </c>
      <c r="AB21" s="10">
        <f t="shared" si="15"/>
        <v>0.28000000000000003</v>
      </c>
      <c r="AC21" s="10">
        <f t="shared" si="16"/>
        <v>0</v>
      </c>
      <c r="AE21" s="9">
        <f t="shared" si="7"/>
        <v>0</v>
      </c>
      <c r="AF21" s="10">
        <f t="shared" si="17"/>
        <v>0.48</v>
      </c>
      <c r="AG21" s="10">
        <f t="shared" si="18"/>
        <v>0</v>
      </c>
      <c r="AJ21" s="9">
        <f t="shared" si="21"/>
        <v>1</v>
      </c>
      <c r="AK21" s="10">
        <f t="shared" si="19"/>
        <v>0.78</v>
      </c>
      <c r="AL21" s="10">
        <f t="shared" si="11"/>
        <v>1.2820512820512819</v>
      </c>
    </row>
    <row r="22" spans="2:38" s="9" customFormat="1" x14ac:dyDescent="0.25">
      <c r="B22" s="8">
        <v>46188</v>
      </c>
      <c r="C22" s="9" t="s">
        <v>43</v>
      </c>
      <c r="D22" s="9" t="s">
        <v>40</v>
      </c>
      <c r="E22" s="10">
        <v>0.90500000000000003</v>
      </c>
      <c r="F22" s="10">
        <v>6.9000000000000006E-2</v>
      </c>
      <c r="G22" s="10">
        <v>3.4000000000000002E-2</v>
      </c>
      <c r="H22" s="10"/>
      <c r="I22" s="11"/>
      <c r="K22" s="12">
        <v>0</v>
      </c>
      <c r="L22" s="12">
        <v>0</v>
      </c>
      <c r="M22" s="9" t="str">
        <f t="shared" si="12"/>
        <v>draw</v>
      </c>
      <c r="N22" s="9" t="str">
        <f t="shared" si="20"/>
        <v>draw</v>
      </c>
      <c r="P22" s="9" t="str">
        <f t="shared" si="0"/>
        <v>Cabo Verde</v>
      </c>
      <c r="Q22" s="9" t="str">
        <f t="shared" si="1"/>
        <v>Spain</v>
      </c>
      <c r="S22" s="9">
        <f t="shared" si="2"/>
        <v>0</v>
      </c>
      <c r="T22" s="10">
        <f t="shared" si="3"/>
        <v>3.4000000000000002E-2</v>
      </c>
      <c r="U22" s="10">
        <f t="shared" si="4"/>
        <v>0</v>
      </c>
      <c r="W22" s="9">
        <f t="shared" si="13"/>
        <v>0</v>
      </c>
      <c r="X22" s="10">
        <f t="shared" si="5"/>
        <v>0.90500000000000003</v>
      </c>
      <c r="Y22" s="10">
        <f t="shared" si="6"/>
        <v>0</v>
      </c>
      <c r="AA22" s="9">
        <f t="shared" si="14"/>
        <v>1</v>
      </c>
      <c r="AB22" s="10">
        <f t="shared" si="15"/>
        <v>6.9000000000000006E-2</v>
      </c>
      <c r="AC22" s="10">
        <f t="shared" si="16"/>
        <v>13.492753623188404</v>
      </c>
      <c r="AE22" s="9">
        <f t="shared" si="7"/>
        <v>1</v>
      </c>
      <c r="AF22" s="10">
        <f t="shared" si="17"/>
        <v>9.4999999999999973E-2</v>
      </c>
      <c r="AG22" s="10">
        <f t="shared" si="18"/>
        <v>10.526315789473687</v>
      </c>
      <c r="AJ22" s="9">
        <f t="shared" si="21"/>
        <v>0</v>
      </c>
      <c r="AK22" s="10">
        <f t="shared" si="19"/>
        <v>0.96599999999999997</v>
      </c>
      <c r="AL22" s="10">
        <f t="shared" si="11"/>
        <v>0</v>
      </c>
    </row>
    <row r="23" spans="2:38" s="9" customFormat="1" x14ac:dyDescent="0.25">
      <c r="B23" s="8">
        <v>46188</v>
      </c>
      <c r="C23" s="9" t="s">
        <v>47</v>
      </c>
      <c r="D23" s="9" t="s">
        <v>44</v>
      </c>
      <c r="E23" s="10">
        <v>0.65500000000000003</v>
      </c>
      <c r="F23" s="10">
        <v>0.22500000000000001</v>
      </c>
      <c r="G23" s="10">
        <v>0.125</v>
      </c>
      <c r="H23" s="10"/>
      <c r="I23" s="11"/>
      <c r="K23" s="12">
        <v>1</v>
      </c>
      <c r="L23" s="12">
        <v>1</v>
      </c>
      <c r="M23" s="9" t="str">
        <f t="shared" si="12"/>
        <v>draw</v>
      </c>
      <c r="N23" s="9" t="str">
        <f t="shared" si="20"/>
        <v>draw</v>
      </c>
      <c r="P23" s="9" t="str">
        <f t="shared" si="0"/>
        <v>Egypt</v>
      </c>
      <c r="Q23" s="9" t="str">
        <f t="shared" si="1"/>
        <v>Belgium</v>
      </c>
      <c r="S23" s="9">
        <f t="shared" si="2"/>
        <v>0</v>
      </c>
      <c r="T23" s="10">
        <f t="shared" si="3"/>
        <v>0.125</v>
      </c>
      <c r="U23" s="10">
        <f t="shared" si="4"/>
        <v>0</v>
      </c>
      <c r="W23" s="9">
        <f t="shared" si="13"/>
        <v>0</v>
      </c>
      <c r="X23" s="10">
        <f t="shared" si="5"/>
        <v>0.65500000000000003</v>
      </c>
      <c r="Y23" s="10">
        <f t="shared" si="6"/>
        <v>0</v>
      </c>
      <c r="AA23" s="9">
        <f t="shared" si="14"/>
        <v>1</v>
      </c>
      <c r="AB23" s="10">
        <f t="shared" si="15"/>
        <v>0.22500000000000001</v>
      </c>
      <c r="AC23" s="10">
        <f t="shared" si="16"/>
        <v>3.4444444444444446</v>
      </c>
      <c r="AE23" s="9">
        <f t="shared" si="7"/>
        <v>1</v>
      </c>
      <c r="AF23" s="10">
        <f t="shared" si="17"/>
        <v>0.34499999999999997</v>
      </c>
      <c r="AG23" s="10">
        <f t="shared" si="18"/>
        <v>2.8985507246376816</v>
      </c>
      <c r="AJ23" s="9">
        <f t="shared" si="21"/>
        <v>0</v>
      </c>
      <c r="AK23" s="10">
        <f t="shared" si="19"/>
        <v>0.875</v>
      </c>
      <c r="AL23" s="10">
        <f t="shared" si="11"/>
        <v>0</v>
      </c>
    </row>
    <row r="24" spans="2:38" s="9" customFormat="1" x14ac:dyDescent="0.25">
      <c r="B24" s="8">
        <v>46188</v>
      </c>
      <c r="C24" s="9" t="s">
        <v>41</v>
      </c>
      <c r="D24" s="9" t="s">
        <v>42</v>
      </c>
      <c r="E24" s="10">
        <v>0.125</v>
      </c>
      <c r="F24" s="10">
        <v>0.245</v>
      </c>
      <c r="G24" s="10">
        <v>0.63500000000000001</v>
      </c>
      <c r="H24" s="10"/>
      <c r="I24" s="11"/>
      <c r="K24" s="12">
        <v>1</v>
      </c>
      <c r="L24" s="12">
        <v>1</v>
      </c>
      <c r="M24" s="9" t="str">
        <f t="shared" si="12"/>
        <v>draw</v>
      </c>
      <c r="N24" s="9" t="str">
        <f t="shared" si="20"/>
        <v>draw</v>
      </c>
      <c r="P24" s="9" t="str">
        <f t="shared" si="0"/>
        <v>Saudi Arabia</v>
      </c>
      <c r="Q24" s="9" t="str">
        <f t="shared" si="1"/>
        <v>Uruguay</v>
      </c>
      <c r="S24" s="9">
        <f t="shared" si="2"/>
        <v>0</v>
      </c>
      <c r="T24" s="10">
        <f t="shared" si="3"/>
        <v>0.125</v>
      </c>
      <c r="U24" s="10">
        <f t="shared" si="4"/>
        <v>0</v>
      </c>
      <c r="W24" s="9">
        <f t="shared" si="13"/>
        <v>0</v>
      </c>
      <c r="X24" s="10">
        <f t="shared" si="5"/>
        <v>0.63500000000000001</v>
      </c>
      <c r="Y24" s="10">
        <f t="shared" si="6"/>
        <v>0</v>
      </c>
      <c r="AA24" s="9">
        <f t="shared" si="14"/>
        <v>1</v>
      </c>
      <c r="AB24" s="10">
        <f t="shared" si="15"/>
        <v>0.245</v>
      </c>
      <c r="AC24" s="10">
        <f t="shared" si="16"/>
        <v>3.0816326530612246</v>
      </c>
      <c r="AE24" s="9">
        <f t="shared" si="7"/>
        <v>1</v>
      </c>
      <c r="AF24" s="10">
        <f t="shared" si="17"/>
        <v>0.36499999999999999</v>
      </c>
      <c r="AG24" s="10">
        <f t="shared" si="18"/>
        <v>2.7397260273972601</v>
      </c>
      <c r="AJ24" s="9">
        <f t="shared" si="21"/>
        <v>0</v>
      </c>
      <c r="AK24" s="10">
        <f t="shared" si="19"/>
        <v>0.875</v>
      </c>
      <c r="AL24" s="10">
        <f t="shared" si="11"/>
        <v>0</v>
      </c>
    </row>
    <row r="25" spans="2:38" s="9" customFormat="1" x14ac:dyDescent="0.25">
      <c r="B25" s="8">
        <v>46188</v>
      </c>
      <c r="C25" s="9" t="s">
        <v>45</v>
      </c>
      <c r="D25" s="9" t="s">
        <v>46</v>
      </c>
      <c r="E25" s="10">
        <v>0.52500000000000002</v>
      </c>
      <c r="F25" s="10">
        <v>0.28499999999999998</v>
      </c>
      <c r="G25" s="10">
        <v>0.21</v>
      </c>
      <c r="H25" s="10"/>
      <c r="I25" s="11"/>
      <c r="K25" s="12">
        <v>2</v>
      </c>
      <c r="L25" s="12">
        <v>2</v>
      </c>
      <c r="M25" s="9" t="str">
        <f t="shared" si="12"/>
        <v>draw</v>
      </c>
      <c r="N25" s="9" t="str">
        <f t="shared" si="20"/>
        <v>draw</v>
      </c>
      <c r="P25" s="9" t="str">
        <f t="shared" si="0"/>
        <v>New Zeland</v>
      </c>
      <c r="Q25" s="9" t="str">
        <f t="shared" si="1"/>
        <v>Iran</v>
      </c>
      <c r="S25" s="9">
        <f t="shared" si="2"/>
        <v>0</v>
      </c>
      <c r="T25" s="10">
        <f t="shared" si="3"/>
        <v>0.21</v>
      </c>
      <c r="U25" s="10">
        <f t="shared" si="4"/>
        <v>0</v>
      </c>
      <c r="W25" s="9">
        <f t="shared" si="13"/>
        <v>0</v>
      </c>
      <c r="X25" s="10">
        <f t="shared" si="5"/>
        <v>0.52500000000000002</v>
      </c>
      <c r="Y25" s="10">
        <f t="shared" si="6"/>
        <v>0</v>
      </c>
      <c r="AA25" s="9">
        <f t="shared" si="14"/>
        <v>1</v>
      </c>
      <c r="AB25" s="10">
        <f t="shared" si="15"/>
        <v>0.28499999999999998</v>
      </c>
      <c r="AC25" s="10">
        <f t="shared" si="16"/>
        <v>2.5087719298245617</v>
      </c>
      <c r="AE25" s="9">
        <f t="shared" si="7"/>
        <v>1</v>
      </c>
      <c r="AF25" s="10">
        <f t="shared" si="17"/>
        <v>0.47499999999999998</v>
      </c>
      <c r="AG25" s="10">
        <f t="shared" si="18"/>
        <v>2.1052631578947367</v>
      </c>
      <c r="AJ25" s="9">
        <f t="shared" si="21"/>
        <v>0</v>
      </c>
      <c r="AK25" s="10">
        <f t="shared" si="19"/>
        <v>0.79</v>
      </c>
      <c r="AL25" s="10">
        <f t="shared" si="11"/>
        <v>0</v>
      </c>
    </row>
    <row r="26" spans="2:38" s="9" customFormat="1" x14ac:dyDescent="0.25">
      <c r="B26" s="8">
        <v>46189</v>
      </c>
      <c r="C26" s="9" t="s">
        <v>37</v>
      </c>
      <c r="D26" s="9" t="s">
        <v>38</v>
      </c>
      <c r="E26" s="10">
        <v>0.65500000000000003</v>
      </c>
      <c r="F26" s="10">
        <v>0.215</v>
      </c>
      <c r="G26" s="10">
        <v>0.13500000000000001</v>
      </c>
      <c r="H26" s="10"/>
      <c r="I26" s="11"/>
      <c r="K26" s="12">
        <v>3</v>
      </c>
      <c r="L26" s="12">
        <v>1</v>
      </c>
      <c r="M26" s="9" t="str">
        <f t="shared" si="12"/>
        <v>France</v>
      </c>
      <c r="N26" s="9" t="str">
        <f t="shared" si="20"/>
        <v>fav win</v>
      </c>
      <c r="P26" s="9" t="str">
        <f t="shared" si="0"/>
        <v>Senegal</v>
      </c>
      <c r="Q26" s="9" t="str">
        <f t="shared" si="1"/>
        <v>France</v>
      </c>
      <c r="S26" s="9">
        <f t="shared" si="2"/>
        <v>0</v>
      </c>
      <c r="T26" s="10">
        <f t="shared" si="3"/>
        <v>0.13500000000000001</v>
      </c>
      <c r="U26" s="10">
        <f t="shared" si="4"/>
        <v>0</v>
      </c>
      <c r="W26" s="9">
        <f t="shared" si="13"/>
        <v>1</v>
      </c>
      <c r="X26" s="10">
        <f t="shared" si="5"/>
        <v>0.65500000000000003</v>
      </c>
      <c r="Y26" s="10">
        <f t="shared" si="6"/>
        <v>1.5267175572519083</v>
      </c>
      <c r="AA26" s="9">
        <f t="shared" si="14"/>
        <v>0</v>
      </c>
      <c r="AB26" s="10">
        <f t="shared" si="15"/>
        <v>0.215</v>
      </c>
      <c r="AC26" s="10">
        <f t="shared" si="16"/>
        <v>0</v>
      </c>
      <c r="AE26" s="9">
        <f t="shared" si="7"/>
        <v>0</v>
      </c>
      <c r="AF26" s="10">
        <f t="shared" si="17"/>
        <v>0.34499999999999997</v>
      </c>
      <c r="AG26" s="10">
        <f t="shared" si="18"/>
        <v>0</v>
      </c>
      <c r="AJ26" s="9">
        <f t="shared" si="21"/>
        <v>1</v>
      </c>
      <c r="AK26" s="10">
        <f t="shared" si="19"/>
        <v>0.86499999999999999</v>
      </c>
      <c r="AL26" s="10">
        <f t="shared" si="11"/>
        <v>1.1560693641618498</v>
      </c>
    </row>
    <row r="27" spans="2:38" s="9" customFormat="1" x14ac:dyDescent="0.25">
      <c r="B27" s="8">
        <v>46189</v>
      </c>
      <c r="C27" s="9" t="s">
        <v>39</v>
      </c>
      <c r="D27" s="9" t="s">
        <v>36</v>
      </c>
      <c r="E27" s="10">
        <v>1.9E-2</v>
      </c>
      <c r="F27" s="10">
        <v>6.5000000000000002E-2</v>
      </c>
      <c r="G27" s="10">
        <v>0.91500000000000004</v>
      </c>
      <c r="H27" s="10"/>
      <c r="I27" s="11"/>
      <c r="K27" s="12">
        <v>1</v>
      </c>
      <c r="L27" s="12">
        <v>4</v>
      </c>
      <c r="M27" s="9" t="str">
        <f t="shared" si="12"/>
        <v>Norway</v>
      </c>
      <c r="N27" s="9" t="str">
        <f t="shared" si="20"/>
        <v>fav win</v>
      </c>
      <c r="P27" s="9" t="str">
        <f t="shared" si="0"/>
        <v>Iraq</v>
      </c>
      <c r="Q27" s="9" t="str">
        <f t="shared" si="1"/>
        <v>Norway</v>
      </c>
      <c r="S27" s="9">
        <f t="shared" si="2"/>
        <v>0</v>
      </c>
      <c r="T27" s="10">
        <f t="shared" si="3"/>
        <v>1.9E-2</v>
      </c>
      <c r="U27" s="10">
        <f t="shared" si="4"/>
        <v>0</v>
      </c>
      <c r="W27" s="9">
        <f t="shared" si="13"/>
        <v>1</v>
      </c>
      <c r="X27" s="10">
        <f t="shared" si="5"/>
        <v>0.91500000000000004</v>
      </c>
      <c r="Y27" s="10">
        <f t="shared" si="6"/>
        <v>1.0928961748633879</v>
      </c>
      <c r="AA27" s="9">
        <f t="shared" si="14"/>
        <v>0</v>
      </c>
      <c r="AB27" s="10">
        <f t="shared" si="15"/>
        <v>6.5000000000000002E-2</v>
      </c>
      <c r="AC27" s="10">
        <f t="shared" si="16"/>
        <v>0</v>
      </c>
      <c r="AE27" s="9">
        <f t="shared" si="7"/>
        <v>0</v>
      </c>
      <c r="AF27" s="10">
        <f t="shared" si="17"/>
        <v>8.4999999999999964E-2</v>
      </c>
      <c r="AG27" s="10">
        <f t="shared" si="18"/>
        <v>0</v>
      </c>
      <c r="AJ27" s="9">
        <f t="shared" si="21"/>
        <v>1</v>
      </c>
      <c r="AK27" s="10">
        <f t="shared" si="19"/>
        <v>0.98099999999999998</v>
      </c>
      <c r="AL27" s="10">
        <f t="shared" si="11"/>
        <v>1.019367991845056</v>
      </c>
    </row>
    <row r="28" spans="2:38" s="9" customFormat="1" x14ac:dyDescent="0.25">
      <c r="B28" s="8">
        <v>46189</v>
      </c>
      <c r="C28" s="9" t="s">
        <v>58</v>
      </c>
      <c r="D28" s="9" t="s">
        <v>55</v>
      </c>
      <c r="E28" s="10">
        <v>0.63500000000000001</v>
      </c>
      <c r="F28" s="10">
        <v>0.23499999999999999</v>
      </c>
      <c r="G28" s="10">
        <v>0.125</v>
      </c>
      <c r="H28" s="10"/>
      <c r="I28" s="11"/>
      <c r="K28" s="12">
        <v>3</v>
      </c>
      <c r="L28" s="12">
        <v>0</v>
      </c>
      <c r="M28" s="9" t="str">
        <f t="shared" si="12"/>
        <v>Argentina</v>
      </c>
      <c r="N28" s="9" t="str">
        <f t="shared" si="20"/>
        <v>fav win</v>
      </c>
      <c r="P28" s="9" t="str">
        <f t="shared" si="0"/>
        <v>Algeria</v>
      </c>
      <c r="Q28" s="9" t="str">
        <f t="shared" si="1"/>
        <v>Argentina</v>
      </c>
      <c r="S28" s="9">
        <f t="shared" si="2"/>
        <v>0</v>
      </c>
      <c r="T28" s="10">
        <f t="shared" si="3"/>
        <v>0.125</v>
      </c>
      <c r="U28" s="10">
        <f t="shared" si="4"/>
        <v>0</v>
      </c>
      <c r="W28" s="9">
        <f t="shared" si="13"/>
        <v>1</v>
      </c>
      <c r="X28" s="10">
        <f t="shared" si="5"/>
        <v>0.63500000000000001</v>
      </c>
      <c r="Y28" s="10">
        <f t="shared" si="6"/>
        <v>1.5748031496062991</v>
      </c>
      <c r="AA28" s="9">
        <f t="shared" si="14"/>
        <v>0</v>
      </c>
      <c r="AB28" s="10">
        <f t="shared" si="15"/>
        <v>0.23499999999999999</v>
      </c>
      <c r="AC28" s="10">
        <f t="shared" si="16"/>
        <v>0</v>
      </c>
      <c r="AE28" s="9">
        <f t="shared" si="7"/>
        <v>0</v>
      </c>
      <c r="AF28" s="10">
        <f t="shared" si="17"/>
        <v>0.36499999999999999</v>
      </c>
      <c r="AG28" s="10">
        <f t="shared" si="18"/>
        <v>0</v>
      </c>
      <c r="AJ28" s="9">
        <f t="shared" si="21"/>
        <v>1</v>
      </c>
      <c r="AK28" s="10">
        <f t="shared" si="19"/>
        <v>0.875</v>
      </c>
      <c r="AL28" s="10">
        <f t="shared" si="11"/>
        <v>1.1428571428571428</v>
      </c>
    </row>
    <row r="29" spans="2:38" s="9" customFormat="1" x14ac:dyDescent="0.25">
      <c r="B29" s="8">
        <v>46189</v>
      </c>
      <c r="C29" s="9" t="s">
        <v>56</v>
      </c>
      <c r="D29" s="9" t="s">
        <v>57</v>
      </c>
      <c r="E29" s="10">
        <v>0.69499999999999995</v>
      </c>
      <c r="F29" s="10">
        <v>0.20499999999999999</v>
      </c>
      <c r="G29" s="10">
        <v>0.105</v>
      </c>
      <c r="H29" s="10"/>
      <c r="I29" s="11"/>
      <c r="K29" s="12">
        <v>3</v>
      </c>
      <c r="L29" s="12">
        <v>1</v>
      </c>
      <c r="M29" s="9" t="str">
        <f t="shared" si="12"/>
        <v>Austria</v>
      </c>
      <c r="N29" s="9" t="str">
        <f t="shared" si="20"/>
        <v>fav win</v>
      </c>
      <c r="P29" s="9" t="str">
        <f t="shared" si="0"/>
        <v>Jordan</v>
      </c>
      <c r="Q29" s="9" t="str">
        <f t="shared" si="1"/>
        <v>Austria</v>
      </c>
      <c r="S29" s="9">
        <f t="shared" si="2"/>
        <v>0</v>
      </c>
      <c r="T29" s="10">
        <f t="shared" si="3"/>
        <v>0.105</v>
      </c>
      <c r="U29" s="10">
        <f t="shared" si="4"/>
        <v>0</v>
      </c>
      <c r="W29" s="9">
        <f t="shared" si="13"/>
        <v>1</v>
      </c>
      <c r="X29" s="10">
        <f t="shared" si="5"/>
        <v>0.69499999999999995</v>
      </c>
      <c r="Y29" s="10">
        <f t="shared" si="6"/>
        <v>1.4388489208633095</v>
      </c>
      <c r="AA29" s="9">
        <f t="shared" si="14"/>
        <v>0</v>
      </c>
      <c r="AB29" s="10">
        <f t="shared" si="15"/>
        <v>0.20499999999999999</v>
      </c>
      <c r="AC29" s="10">
        <f t="shared" si="16"/>
        <v>0</v>
      </c>
      <c r="AE29" s="9">
        <f t="shared" si="7"/>
        <v>0</v>
      </c>
      <c r="AF29" s="10">
        <f t="shared" si="17"/>
        <v>0.30500000000000005</v>
      </c>
      <c r="AG29" s="10">
        <f t="shared" si="18"/>
        <v>0</v>
      </c>
      <c r="AJ29" s="9">
        <f t="shared" si="21"/>
        <v>1</v>
      </c>
      <c r="AK29" s="10">
        <f t="shared" si="19"/>
        <v>0.89500000000000002</v>
      </c>
      <c r="AL29" s="10">
        <f t="shared" si="11"/>
        <v>1.1173184357541899</v>
      </c>
    </row>
    <row r="30" spans="2:38" s="9" customFormat="1" x14ac:dyDescent="0.25">
      <c r="B30" s="8">
        <v>46190</v>
      </c>
      <c r="C30" s="9" t="s">
        <v>61</v>
      </c>
      <c r="D30" s="9" t="s">
        <v>62</v>
      </c>
      <c r="E30" s="10">
        <v>0.76500000000000001</v>
      </c>
      <c r="F30" s="10">
        <v>0.16500000000000001</v>
      </c>
      <c r="G30" s="10">
        <v>7.4999999999999997E-2</v>
      </c>
      <c r="H30" s="10"/>
      <c r="I30" s="11"/>
      <c r="K30" s="12">
        <v>1</v>
      </c>
      <c r="L30" s="12">
        <v>1</v>
      </c>
      <c r="M30" s="9" t="str">
        <f t="shared" si="12"/>
        <v>draw</v>
      </c>
      <c r="N30" s="9" t="str">
        <f t="shared" si="20"/>
        <v>draw</v>
      </c>
      <c r="P30" s="9" t="str">
        <f t="shared" si="0"/>
        <v>DRC</v>
      </c>
      <c r="Q30" s="9" t="str">
        <f t="shared" si="1"/>
        <v>Portugalia</v>
      </c>
      <c r="S30" s="9">
        <f t="shared" si="2"/>
        <v>0</v>
      </c>
      <c r="T30" s="10">
        <f t="shared" si="3"/>
        <v>7.4999999999999997E-2</v>
      </c>
      <c r="U30" s="10">
        <f t="shared" si="4"/>
        <v>0</v>
      </c>
      <c r="W30" s="9">
        <f t="shared" si="13"/>
        <v>0</v>
      </c>
      <c r="X30" s="10">
        <f t="shared" si="5"/>
        <v>0.76500000000000001</v>
      </c>
      <c r="Y30" s="10">
        <f t="shared" si="6"/>
        <v>0</v>
      </c>
      <c r="AA30" s="9">
        <f t="shared" si="14"/>
        <v>1</v>
      </c>
      <c r="AB30" s="10">
        <f t="shared" si="15"/>
        <v>0.16500000000000001</v>
      </c>
      <c r="AC30" s="10">
        <f t="shared" si="16"/>
        <v>5.0606060606060606</v>
      </c>
      <c r="AE30" s="9">
        <f t="shared" si="7"/>
        <v>1</v>
      </c>
      <c r="AF30" s="10">
        <f t="shared" si="17"/>
        <v>0.23499999999999999</v>
      </c>
      <c r="AG30" s="10">
        <f t="shared" si="18"/>
        <v>4.2553191489361701</v>
      </c>
      <c r="AJ30" s="9">
        <f t="shared" si="21"/>
        <v>0</v>
      </c>
      <c r="AK30" s="10">
        <f t="shared" si="19"/>
        <v>0.92500000000000004</v>
      </c>
      <c r="AL30" s="10">
        <f t="shared" si="11"/>
        <v>0</v>
      </c>
    </row>
    <row r="31" spans="2:38" s="9" customFormat="1" x14ac:dyDescent="0.25">
      <c r="B31" s="8">
        <v>46190</v>
      </c>
      <c r="C31" s="9" t="s">
        <v>51</v>
      </c>
      <c r="D31" s="9" t="s">
        <v>48</v>
      </c>
      <c r="E31" s="10">
        <v>0.58499999999999996</v>
      </c>
      <c r="F31" s="10">
        <v>0.255</v>
      </c>
      <c r="G31" s="10">
        <v>0.17499999999999999</v>
      </c>
      <c r="H31" s="10"/>
      <c r="I31" s="11"/>
      <c r="K31" s="12">
        <v>4</v>
      </c>
      <c r="L31" s="12">
        <v>2</v>
      </c>
      <c r="M31" s="9" t="str">
        <f t="shared" si="12"/>
        <v>England</v>
      </c>
      <c r="N31" s="9" t="str">
        <f t="shared" si="20"/>
        <v>fav win</v>
      </c>
      <c r="P31" s="9" t="str">
        <f t="shared" si="0"/>
        <v>Croatia</v>
      </c>
      <c r="Q31" s="9" t="str">
        <f t="shared" si="1"/>
        <v>England</v>
      </c>
      <c r="S31" s="9">
        <f t="shared" si="2"/>
        <v>0</v>
      </c>
      <c r="T31" s="10">
        <f t="shared" si="3"/>
        <v>0.17499999999999999</v>
      </c>
      <c r="U31" s="10">
        <f t="shared" si="4"/>
        <v>0</v>
      </c>
      <c r="W31" s="9">
        <f t="shared" si="13"/>
        <v>1</v>
      </c>
      <c r="X31" s="10">
        <f t="shared" si="5"/>
        <v>0.58499999999999996</v>
      </c>
      <c r="Y31" s="10">
        <f t="shared" si="6"/>
        <v>1.7094017094017095</v>
      </c>
      <c r="AA31" s="9">
        <f t="shared" si="14"/>
        <v>0</v>
      </c>
      <c r="AB31" s="10">
        <f t="shared" si="15"/>
        <v>0.255</v>
      </c>
      <c r="AC31" s="10">
        <f t="shared" si="16"/>
        <v>0</v>
      </c>
      <c r="AE31" s="9">
        <f t="shared" si="7"/>
        <v>0</v>
      </c>
      <c r="AF31" s="10">
        <f t="shared" si="17"/>
        <v>0.41500000000000004</v>
      </c>
      <c r="AG31" s="10">
        <f t="shared" si="18"/>
        <v>0</v>
      </c>
      <c r="AJ31" s="9">
        <f t="shared" si="21"/>
        <v>1</v>
      </c>
      <c r="AK31" s="10">
        <f t="shared" si="19"/>
        <v>0.82499999999999996</v>
      </c>
      <c r="AL31" s="10">
        <f t="shared" si="11"/>
        <v>1.2121212121212122</v>
      </c>
    </row>
    <row r="32" spans="2:38" s="9" customFormat="1" x14ac:dyDescent="0.25">
      <c r="B32" s="8">
        <v>46190</v>
      </c>
      <c r="C32" s="9" t="s">
        <v>49</v>
      </c>
      <c r="D32" s="9" t="s">
        <v>50</v>
      </c>
      <c r="E32" s="10">
        <v>0.29499999999999998</v>
      </c>
      <c r="F32" s="10">
        <v>0.375</v>
      </c>
      <c r="G32" s="10">
        <v>0.32500000000000001</v>
      </c>
      <c r="H32" s="10"/>
      <c r="I32" s="11"/>
      <c r="K32" s="12">
        <v>1</v>
      </c>
      <c r="L32" s="12">
        <v>0</v>
      </c>
      <c r="M32" s="9" t="str">
        <f t="shared" si="12"/>
        <v>Ghana</v>
      </c>
      <c r="N32" s="9" t="str">
        <f t="shared" si="20"/>
        <v>dog win</v>
      </c>
      <c r="P32" s="9" t="str">
        <f t="shared" si="0"/>
        <v>Ghana</v>
      </c>
      <c r="Q32" s="9" t="str">
        <f t="shared" si="1"/>
        <v>Panama</v>
      </c>
      <c r="S32" s="9">
        <f t="shared" si="2"/>
        <v>1</v>
      </c>
      <c r="T32" s="10">
        <f t="shared" si="3"/>
        <v>0.29499999999999998</v>
      </c>
      <c r="U32" s="10">
        <f t="shared" si="4"/>
        <v>3.3898305084745766</v>
      </c>
      <c r="W32" s="9">
        <f t="shared" si="13"/>
        <v>0</v>
      </c>
      <c r="X32" s="10">
        <f t="shared" si="5"/>
        <v>0.32500000000000001</v>
      </c>
      <c r="Y32" s="10">
        <f t="shared" si="6"/>
        <v>0</v>
      </c>
      <c r="AA32" s="9">
        <f t="shared" si="14"/>
        <v>0</v>
      </c>
      <c r="AB32" s="10">
        <f t="shared" si="15"/>
        <v>0.375</v>
      </c>
      <c r="AC32" s="10">
        <f t="shared" si="16"/>
        <v>0</v>
      </c>
      <c r="AE32" s="9">
        <f t="shared" si="7"/>
        <v>1</v>
      </c>
      <c r="AF32" s="10">
        <f t="shared" si="17"/>
        <v>0.67500000000000004</v>
      </c>
      <c r="AG32" s="10">
        <f t="shared" si="18"/>
        <v>1.4814814814814814</v>
      </c>
      <c r="AJ32" s="9">
        <f t="shared" si="21"/>
        <v>0</v>
      </c>
      <c r="AK32" s="10">
        <f t="shared" si="19"/>
        <v>0.70500000000000007</v>
      </c>
      <c r="AL32" s="10">
        <f t="shared" si="11"/>
        <v>0</v>
      </c>
    </row>
    <row r="33" spans="2:38" s="9" customFormat="1" x14ac:dyDescent="0.25">
      <c r="B33" s="8">
        <v>46190</v>
      </c>
      <c r="C33" s="9" t="s">
        <v>54</v>
      </c>
      <c r="D33" s="9" t="s">
        <v>52</v>
      </c>
      <c r="E33" s="10">
        <v>7.4999999999999997E-2</v>
      </c>
      <c r="F33" s="10">
        <v>0.17499999999999999</v>
      </c>
      <c r="G33" s="10">
        <v>0.755</v>
      </c>
      <c r="H33" s="10"/>
      <c r="I33" s="11"/>
      <c r="K33" s="12">
        <v>1</v>
      </c>
      <c r="L33" s="12">
        <v>3</v>
      </c>
      <c r="M33" s="9" t="str">
        <f t="shared" si="12"/>
        <v>Colombia</v>
      </c>
      <c r="N33" s="9" t="str">
        <f t="shared" si="20"/>
        <v>fav win</v>
      </c>
      <c r="P33" s="9" t="str">
        <f t="shared" si="0"/>
        <v>Uzbekistan</v>
      </c>
      <c r="Q33" s="9" t="str">
        <f t="shared" si="1"/>
        <v>Colombia</v>
      </c>
      <c r="S33" s="9">
        <f t="shared" si="2"/>
        <v>0</v>
      </c>
      <c r="T33" s="10">
        <f t="shared" si="3"/>
        <v>7.4999999999999997E-2</v>
      </c>
      <c r="U33" s="10">
        <f t="shared" si="4"/>
        <v>0</v>
      </c>
      <c r="W33" s="9">
        <f t="shared" si="13"/>
        <v>1</v>
      </c>
      <c r="X33" s="10">
        <f t="shared" si="5"/>
        <v>0.755</v>
      </c>
      <c r="Y33" s="10">
        <f t="shared" si="6"/>
        <v>1.3245033112582782</v>
      </c>
      <c r="AA33" s="9">
        <f t="shared" si="14"/>
        <v>0</v>
      </c>
      <c r="AB33" s="10">
        <f t="shared" si="15"/>
        <v>0.17499999999999999</v>
      </c>
      <c r="AC33" s="10">
        <f t="shared" si="16"/>
        <v>0</v>
      </c>
      <c r="AE33" s="9">
        <f t="shared" si="7"/>
        <v>0</v>
      </c>
      <c r="AF33" s="10">
        <f t="shared" si="17"/>
        <v>0.245</v>
      </c>
      <c r="AG33" s="10">
        <f t="shared" si="18"/>
        <v>0</v>
      </c>
      <c r="AJ33" s="9">
        <f t="shared" si="21"/>
        <v>1</v>
      </c>
      <c r="AK33" s="10">
        <f t="shared" si="19"/>
        <v>0.92500000000000004</v>
      </c>
      <c r="AL33" s="10">
        <f t="shared" si="11"/>
        <v>1.0810810810810809</v>
      </c>
    </row>
    <row r="34" spans="2:38" s="9" customFormat="1" x14ac:dyDescent="0.25">
      <c r="B34" s="8">
        <v>46191</v>
      </c>
      <c r="C34" s="9" t="s">
        <v>31</v>
      </c>
      <c r="D34" s="9" t="s">
        <v>33</v>
      </c>
      <c r="E34" s="10">
        <v>0.505</v>
      </c>
      <c r="F34" s="10">
        <v>0.28499999999999998</v>
      </c>
      <c r="G34" s="10">
        <v>0.20499999999999999</v>
      </c>
      <c r="H34" s="10"/>
      <c r="I34" s="11"/>
      <c r="K34" s="12">
        <v>1</v>
      </c>
      <c r="L34" s="12">
        <v>1</v>
      </c>
      <c r="M34" s="9" t="str">
        <f t="shared" si="12"/>
        <v>draw</v>
      </c>
      <c r="N34" s="9" t="str">
        <f t="shared" si="20"/>
        <v>draw</v>
      </c>
      <c r="P34" s="9" t="str">
        <f t="shared" si="0"/>
        <v>South Africa</v>
      </c>
      <c r="Q34" s="9" t="str">
        <f t="shared" si="1"/>
        <v>Czechia</v>
      </c>
      <c r="S34" s="9">
        <f t="shared" si="2"/>
        <v>0</v>
      </c>
      <c r="T34" s="10">
        <f t="shared" si="3"/>
        <v>0.20499999999999999</v>
      </c>
      <c r="U34" s="10">
        <f t="shared" si="4"/>
        <v>0</v>
      </c>
      <c r="W34" s="9">
        <f t="shared" si="13"/>
        <v>0</v>
      </c>
      <c r="X34" s="10">
        <f t="shared" si="5"/>
        <v>0.505</v>
      </c>
      <c r="Y34" s="10">
        <f t="shared" si="6"/>
        <v>0</v>
      </c>
      <c r="AA34" s="9">
        <f t="shared" si="14"/>
        <v>1</v>
      </c>
      <c r="AB34" s="10">
        <f t="shared" si="15"/>
        <v>0.28499999999999998</v>
      </c>
      <c r="AC34" s="10">
        <f t="shared" si="16"/>
        <v>2.5087719298245617</v>
      </c>
      <c r="AE34" s="9">
        <f t="shared" si="7"/>
        <v>1</v>
      </c>
      <c r="AF34" s="10">
        <f t="shared" si="17"/>
        <v>0.495</v>
      </c>
      <c r="AG34" s="10">
        <f t="shared" si="18"/>
        <v>2.0202020202020203</v>
      </c>
      <c r="AJ34" s="9">
        <f t="shared" si="21"/>
        <v>0</v>
      </c>
      <c r="AK34" s="10">
        <f t="shared" si="19"/>
        <v>0.79500000000000004</v>
      </c>
      <c r="AL34" s="10">
        <f t="shared" si="11"/>
        <v>0</v>
      </c>
    </row>
    <row r="35" spans="2:38" s="9" customFormat="1" x14ac:dyDescent="0.25">
      <c r="B35" s="8">
        <v>46191</v>
      </c>
      <c r="C35" s="9" t="s">
        <v>16</v>
      </c>
      <c r="D35" s="9" t="s">
        <v>6</v>
      </c>
      <c r="E35" s="10">
        <v>0.625</v>
      </c>
      <c r="F35" s="10">
        <v>0.23499999999999999</v>
      </c>
      <c r="G35" s="10">
        <v>0.14499999999999999</v>
      </c>
      <c r="H35" s="10"/>
      <c r="I35" s="11"/>
      <c r="K35" s="12">
        <v>4</v>
      </c>
      <c r="L35" s="12">
        <v>1</v>
      </c>
      <c r="M35" s="9" t="str">
        <f t="shared" si="12"/>
        <v>Switzerland</v>
      </c>
      <c r="N35" s="9" t="str">
        <f t="shared" si="20"/>
        <v>fav win</v>
      </c>
      <c r="P35" s="9" t="str">
        <f t="shared" si="0"/>
        <v>Bosnia-Herzegovina</v>
      </c>
      <c r="Q35" s="9" t="str">
        <f t="shared" si="1"/>
        <v>Switzerland</v>
      </c>
      <c r="S35" s="9">
        <f t="shared" si="2"/>
        <v>0</v>
      </c>
      <c r="T35" s="10">
        <f t="shared" si="3"/>
        <v>0.14499999999999999</v>
      </c>
      <c r="U35" s="10">
        <f t="shared" si="4"/>
        <v>0</v>
      </c>
      <c r="W35" s="9">
        <f t="shared" si="13"/>
        <v>1</v>
      </c>
      <c r="X35" s="10">
        <f t="shared" si="5"/>
        <v>0.625</v>
      </c>
      <c r="Y35" s="10">
        <f t="shared" si="6"/>
        <v>1.6</v>
      </c>
      <c r="AA35" s="9">
        <f t="shared" si="14"/>
        <v>0</v>
      </c>
      <c r="AB35" s="10">
        <f t="shared" si="15"/>
        <v>0.23499999999999999</v>
      </c>
      <c r="AC35" s="10">
        <f t="shared" si="16"/>
        <v>0</v>
      </c>
      <c r="AE35" s="9">
        <f t="shared" si="7"/>
        <v>0</v>
      </c>
      <c r="AF35" s="10">
        <f t="shared" si="17"/>
        <v>0.375</v>
      </c>
      <c r="AG35" s="10">
        <f t="shared" si="18"/>
        <v>0</v>
      </c>
      <c r="AJ35" s="9">
        <f t="shared" si="21"/>
        <v>1</v>
      </c>
      <c r="AK35" s="10">
        <f t="shared" si="19"/>
        <v>0.85499999999999998</v>
      </c>
      <c r="AL35" s="10">
        <f t="shared" si="11"/>
        <v>1.1695906432748537</v>
      </c>
    </row>
    <row r="36" spans="2:38" s="9" customFormat="1" x14ac:dyDescent="0.25">
      <c r="B36" s="8">
        <v>46191</v>
      </c>
      <c r="C36" s="9" t="s">
        <v>5</v>
      </c>
      <c r="D36" s="9" t="s">
        <v>15</v>
      </c>
      <c r="E36" s="10">
        <v>0.78500000000000003</v>
      </c>
      <c r="F36" s="10">
        <v>0.155</v>
      </c>
      <c r="G36" s="10">
        <v>6.5000000000000002E-2</v>
      </c>
      <c r="H36" s="10"/>
      <c r="I36" s="11"/>
      <c r="K36" s="12">
        <v>6</v>
      </c>
      <c r="L36" s="12">
        <v>0</v>
      </c>
      <c r="M36" s="9" t="str">
        <f t="shared" si="12"/>
        <v>Canada</v>
      </c>
      <c r="N36" s="9" t="str">
        <f t="shared" si="20"/>
        <v>fav win</v>
      </c>
      <c r="P36" s="9" t="str">
        <f t="shared" si="0"/>
        <v>Qatar</v>
      </c>
      <c r="Q36" s="9" t="str">
        <f t="shared" si="1"/>
        <v>Canada</v>
      </c>
      <c r="S36" s="9">
        <f t="shared" si="2"/>
        <v>0</v>
      </c>
      <c r="T36" s="10">
        <f t="shared" si="3"/>
        <v>6.5000000000000002E-2</v>
      </c>
      <c r="U36" s="10">
        <f t="shared" si="4"/>
        <v>0</v>
      </c>
      <c r="W36" s="9">
        <f t="shared" si="13"/>
        <v>1</v>
      </c>
      <c r="X36" s="10">
        <f t="shared" si="5"/>
        <v>0.78500000000000003</v>
      </c>
      <c r="Y36" s="10">
        <f t="shared" si="6"/>
        <v>1.2738853503184713</v>
      </c>
      <c r="AA36" s="9">
        <f t="shared" si="14"/>
        <v>0</v>
      </c>
      <c r="AB36" s="10">
        <f t="shared" si="15"/>
        <v>0.155</v>
      </c>
      <c r="AC36" s="10">
        <f t="shared" si="16"/>
        <v>0</v>
      </c>
      <c r="AE36" s="9">
        <f t="shared" si="7"/>
        <v>0</v>
      </c>
      <c r="AF36" s="10">
        <f t="shared" si="17"/>
        <v>0.21499999999999997</v>
      </c>
      <c r="AG36" s="10">
        <f t="shared" si="18"/>
        <v>0</v>
      </c>
      <c r="AJ36" s="9">
        <f t="shared" si="21"/>
        <v>1</v>
      </c>
      <c r="AK36" s="10">
        <f t="shared" si="19"/>
        <v>0.93500000000000005</v>
      </c>
      <c r="AL36" s="10">
        <f t="shared" si="11"/>
        <v>1.0695187165775399</v>
      </c>
    </row>
    <row r="37" spans="2:38" s="9" customFormat="1" x14ac:dyDescent="0.25">
      <c r="B37" s="8">
        <v>46191</v>
      </c>
      <c r="C37" s="9" t="s">
        <v>32</v>
      </c>
      <c r="D37" s="9" t="s">
        <v>34</v>
      </c>
      <c r="E37" s="10">
        <v>0.46500000000000002</v>
      </c>
      <c r="F37" s="10">
        <v>0.315</v>
      </c>
      <c r="G37" s="10">
        <v>0.215</v>
      </c>
      <c r="H37" s="10"/>
      <c r="I37" s="11"/>
      <c r="K37" s="12">
        <v>1</v>
      </c>
      <c r="L37" s="12">
        <v>0</v>
      </c>
      <c r="M37" s="9" t="str">
        <f t="shared" si="12"/>
        <v>Mexico</v>
      </c>
      <c r="N37" s="9" t="str">
        <f t="shared" si="20"/>
        <v>fav win</v>
      </c>
      <c r="P37" s="9" t="str">
        <f t="shared" si="0"/>
        <v>South Korea</v>
      </c>
      <c r="Q37" s="9" t="str">
        <f t="shared" si="1"/>
        <v>Mexico</v>
      </c>
      <c r="S37" s="9">
        <f t="shared" si="2"/>
        <v>0</v>
      </c>
      <c r="T37" s="10">
        <f t="shared" si="3"/>
        <v>0.215</v>
      </c>
      <c r="U37" s="10">
        <f t="shared" si="4"/>
        <v>0</v>
      </c>
      <c r="W37" s="9">
        <f t="shared" si="13"/>
        <v>1</v>
      </c>
      <c r="X37" s="10">
        <f t="shared" si="5"/>
        <v>0.46500000000000002</v>
      </c>
      <c r="Y37" s="10">
        <f t="shared" si="6"/>
        <v>2.150537634408602</v>
      </c>
      <c r="AA37" s="9">
        <f t="shared" si="14"/>
        <v>0</v>
      </c>
      <c r="AB37" s="10">
        <f t="shared" si="15"/>
        <v>0.315</v>
      </c>
      <c r="AC37" s="10">
        <f t="shared" si="16"/>
        <v>0</v>
      </c>
      <c r="AE37" s="9">
        <f t="shared" si="7"/>
        <v>0</v>
      </c>
      <c r="AF37" s="10">
        <f t="shared" si="17"/>
        <v>0.53499999999999992</v>
      </c>
      <c r="AG37" s="10">
        <f t="shared" si="18"/>
        <v>0</v>
      </c>
      <c r="AJ37" s="9">
        <f t="shared" si="21"/>
        <v>1</v>
      </c>
      <c r="AK37" s="10">
        <f t="shared" si="19"/>
        <v>0.78500000000000003</v>
      </c>
      <c r="AL37" s="10">
        <f t="shared" si="11"/>
        <v>1.2738853503184713</v>
      </c>
    </row>
    <row r="38" spans="2:38" s="9" customFormat="1" x14ac:dyDescent="0.25">
      <c r="B38" s="8">
        <v>46192</v>
      </c>
      <c r="C38" s="9" t="s">
        <v>7</v>
      </c>
      <c r="D38" s="9" t="s">
        <v>21</v>
      </c>
      <c r="E38" s="10">
        <v>0.625</v>
      </c>
      <c r="F38" s="10">
        <v>0.22500000000000001</v>
      </c>
      <c r="G38" s="10">
        <v>0.14499999999999999</v>
      </c>
      <c r="H38" s="10"/>
      <c r="I38" s="11"/>
      <c r="K38" s="12">
        <v>2</v>
      </c>
      <c r="L38" s="12">
        <v>0</v>
      </c>
      <c r="M38" s="9" t="str">
        <f t="shared" si="12"/>
        <v>USA</v>
      </c>
      <c r="N38" s="9" t="str">
        <f t="shared" si="20"/>
        <v>fav win</v>
      </c>
      <c r="P38" s="9" t="str">
        <f t="shared" si="0"/>
        <v>Australia</v>
      </c>
      <c r="Q38" s="9" t="str">
        <f t="shared" si="1"/>
        <v>USA</v>
      </c>
      <c r="S38" s="9">
        <f t="shared" si="2"/>
        <v>0</v>
      </c>
      <c r="T38" s="10">
        <f t="shared" si="3"/>
        <v>0.14499999999999999</v>
      </c>
      <c r="U38" s="10">
        <f t="shared" si="4"/>
        <v>0</v>
      </c>
      <c r="W38" s="9">
        <f t="shared" si="13"/>
        <v>1</v>
      </c>
      <c r="X38" s="10">
        <f t="shared" si="5"/>
        <v>0.625</v>
      </c>
      <c r="Y38" s="10">
        <f t="shared" si="6"/>
        <v>1.6</v>
      </c>
      <c r="AA38" s="9">
        <f t="shared" si="14"/>
        <v>0</v>
      </c>
      <c r="AB38" s="10">
        <f t="shared" si="15"/>
        <v>0.22500000000000001</v>
      </c>
      <c r="AC38" s="10">
        <f t="shared" si="16"/>
        <v>0</v>
      </c>
      <c r="AE38" s="9">
        <f t="shared" si="7"/>
        <v>0</v>
      </c>
      <c r="AF38" s="10">
        <f t="shared" si="17"/>
        <v>0.375</v>
      </c>
      <c r="AG38" s="10">
        <f t="shared" si="18"/>
        <v>0</v>
      </c>
      <c r="AJ38" s="9">
        <f t="shared" si="21"/>
        <v>1</v>
      </c>
      <c r="AK38" s="10">
        <f t="shared" si="19"/>
        <v>0.85499999999999998</v>
      </c>
      <c r="AL38" s="10">
        <f t="shared" si="11"/>
        <v>1.1695906432748537</v>
      </c>
    </row>
    <row r="39" spans="2:38" s="9" customFormat="1" x14ac:dyDescent="0.25">
      <c r="B39" s="8">
        <v>46192</v>
      </c>
      <c r="C39" s="9" t="s">
        <v>20</v>
      </c>
      <c r="D39" s="9" t="s">
        <v>18</v>
      </c>
      <c r="E39" s="10">
        <v>0.155</v>
      </c>
      <c r="F39" s="10">
        <v>0.26500000000000001</v>
      </c>
      <c r="G39" s="10">
        <v>0.58499999999999996</v>
      </c>
      <c r="H39" s="10"/>
      <c r="I39" s="11"/>
      <c r="K39" s="12">
        <v>0</v>
      </c>
      <c r="L39" s="12">
        <v>1</v>
      </c>
      <c r="M39" s="9" t="str">
        <f t="shared" si="12"/>
        <v>Morocco</v>
      </c>
      <c r="N39" s="9" t="str">
        <f t="shared" si="20"/>
        <v>fav win</v>
      </c>
      <c r="P39" s="9" t="str">
        <f t="shared" si="0"/>
        <v>Scotland</v>
      </c>
      <c r="Q39" s="9" t="str">
        <f t="shared" si="1"/>
        <v>Morocco</v>
      </c>
      <c r="S39" s="9">
        <f t="shared" si="2"/>
        <v>0</v>
      </c>
      <c r="T39" s="10">
        <f t="shared" si="3"/>
        <v>0.155</v>
      </c>
      <c r="U39" s="10">
        <f t="shared" si="4"/>
        <v>0</v>
      </c>
      <c r="W39" s="9">
        <f t="shared" si="13"/>
        <v>1</v>
      </c>
      <c r="X39" s="10">
        <f t="shared" si="5"/>
        <v>0.58499999999999996</v>
      </c>
      <c r="Y39" s="10">
        <f t="shared" si="6"/>
        <v>1.7094017094017095</v>
      </c>
      <c r="AA39" s="9">
        <f t="shared" si="14"/>
        <v>0</v>
      </c>
      <c r="AB39" s="10">
        <f t="shared" si="15"/>
        <v>0.26500000000000001</v>
      </c>
      <c r="AC39" s="10">
        <f t="shared" si="16"/>
        <v>0</v>
      </c>
      <c r="AE39" s="9">
        <f t="shared" si="7"/>
        <v>0</v>
      </c>
      <c r="AF39" s="10">
        <f t="shared" si="17"/>
        <v>0.41500000000000004</v>
      </c>
      <c r="AG39" s="10">
        <f t="shared" si="18"/>
        <v>0</v>
      </c>
      <c r="AJ39" s="9">
        <f t="shared" si="21"/>
        <v>1</v>
      </c>
      <c r="AK39" s="10">
        <f t="shared" si="19"/>
        <v>0.84499999999999997</v>
      </c>
      <c r="AL39" s="10">
        <f t="shared" si="11"/>
        <v>1.1834319526627219</v>
      </c>
    </row>
    <row r="40" spans="2:38" s="9" customFormat="1" x14ac:dyDescent="0.25">
      <c r="B40" s="8">
        <v>46192</v>
      </c>
      <c r="C40" s="9" t="s">
        <v>17</v>
      </c>
      <c r="D40" s="9" t="s">
        <v>19</v>
      </c>
      <c r="E40" s="10">
        <v>0.875</v>
      </c>
      <c r="F40" s="10">
        <v>8.3000000000000004E-2</v>
      </c>
      <c r="G40" s="10">
        <v>4.2000000000000003E-2</v>
      </c>
      <c r="H40" s="10"/>
      <c r="I40" s="11"/>
      <c r="K40" s="12">
        <v>3</v>
      </c>
      <c r="L40" s="12">
        <v>0</v>
      </c>
      <c r="M40" s="9" t="str">
        <f t="shared" si="12"/>
        <v>Brazil</v>
      </c>
      <c r="N40" s="9" t="str">
        <f t="shared" si="20"/>
        <v>fav win</v>
      </c>
      <c r="P40" s="9" t="str">
        <f t="shared" si="0"/>
        <v>Haiti</v>
      </c>
      <c r="Q40" s="9" t="str">
        <f t="shared" si="1"/>
        <v>Brazil</v>
      </c>
      <c r="S40" s="9">
        <f t="shared" si="2"/>
        <v>0</v>
      </c>
      <c r="T40" s="10">
        <f t="shared" si="3"/>
        <v>4.2000000000000003E-2</v>
      </c>
      <c r="U40" s="10">
        <f t="shared" si="4"/>
        <v>0</v>
      </c>
      <c r="W40" s="9">
        <f t="shared" si="13"/>
        <v>1</v>
      </c>
      <c r="X40" s="10">
        <f t="shared" si="5"/>
        <v>0.875</v>
      </c>
      <c r="Y40" s="10">
        <f t="shared" si="6"/>
        <v>1.1428571428571428</v>
      </c>
      <c r="AA40" s="9">
        <f t="shared" si="14"/>
        <v>0</v>
      </c>
      <c r="AB40" s="10">
        <f t="shared" si="15"/>
        <v>8.3000000000000004E-2</v>
      </c>
      <c r="AC40" s="10">
        <f t="shared" si="16"/>
        <v>0</v>
      </c>
      <c r="AE40" s="9">
        <f t="shared" si="7"/>
        <v>0</v>
      </c>
      <c r="AF40" s="10">
        <f t="shared" si="17"/>
        <v>0.125</v>
      </c>
      <c r="AG40" s="10">
        <f t="shared" si="18"/>
        <v>0</v>
      </c>
      <c r="AJ40" s="9">
        <f t="shared" si="21"/>
        <v>1</v>
      </c>
      <c r="AK40" s="10">
        <f t="shared" si="19"/>
        <v>0.95799999999999996</v>
      </c>
      <c r="AL40" s="10">
        <f t="shared" si="11"/>
        <v>1.0438413361169103</v>
      </c>
    </row>
    <row r="41" spans="2:38" s="9" customFormat="1" x14ac:dyDescent="0.25">
      <c r="B41" s="8">
        <v>46192</v>
      </c>
      <c r="C41" s="9" t="s">
        <v>22</v>
      </c>
      <c r="D41" s="9" t="s">
        <v>8</v>
      </c>
      <c r="E41" s="10">
        <v>0.45500000000000002</v>
      </c>
      <c r="F41" s="10">
        <v>0.29499999999999998</v>
      </c>
      <c r="G41" s="10">
        <v>0.245</v>
      </c>
      <c r="H41" s="10"/>
      <c r="I41" s="11"/>
      <c r="K41" s="12">
        <v>0</v>
      </c>
      <c r="L41" s="12">
        <v>1</v>
      </c>
      <c r="M41" s="9" t="str">
        <f t="shared" si="12"/>
        <v>Paraguay</v>
      </c>
      <c r="N41" s="9" t="str">
        <f t="shared" si="20"/>
        <v>dog win</v>
      </c>
      <c r="P41" s="9" t="str">
        <f t="shared" si="0"/>
        <v>Paraguay</v>
      </c>
      <c r="Q41" s="9" t="str">
        <f t="shared" si="1"/>
        <v>Turkey</v>
      </c>
      <c r="S41" s="9">
        <f t="shared" si="2"/>
        <v>1</v>
      </c>
      <c r="T41" s="10">
        <f t="shared" si="3"/>
        <v>0.245</v>
      </c>
      <c r="U41" s="10">
        <f t="shared" si="4"/>
        <v>4.0816326530612246</v>
      </c>
      <c r="W41" s="9">
        <f t="shared" si="13"/>
        <v>0</v>
      </c>
      <c r="X41" s="10">
        <f t="shared" si="5"/>
        <v>0.45500000000000002</v>
      </c>
      <c r="Y41" s="10">
        <f t="shared" si="6"/>
        <v>0</v>
      </c>
      <c r="AA41" s="9">
        <f t="shared" si="14"/>
        <v>0</v>
      </c>
      <c r="AB41" s="10">
        <f t="shared" si="15"/>
        <v>0.29499999999999998</v>
      </c>
      <c r="AC41" s="10">
        <f t="shared" si="16"/>
        <v>0</v>
      </c>
      <c r="AE41" s="9">
        <f t="shared" si="7"/>
        <v>1</v>
      </c>
      <c r="AF41" s="10">
        <f t="shared" si="17"/>
        <v>0.54499999999999993</v>
      </c>
      <c r="AG41" s="10">
        <f t="shared" si="18"/>
        <v>1.8348623853211012</v>
      </c>
      <c r="AJ41" s="9">
        <f t="shared" si="21"/>
        <v>0</v>
      </c>
      <c r="AK41" s="10">
        <f t="shared" si="19"/>
        <v>0.755</v>
      </c>
      <c r="AL41" s="10">
        <f t="shared" si="11"/>
        <v>0</v>
      </c>
    </row>
    <row r="42" spans="2:38" s="9" customFormat="1" x14ac:dyDescent="0.25">
      <c r="B42" s="8">
        <v>46193</v>
      </c>
      <c r="C42" s="9" t="s">
        <v>25</v>
      </c>
      <c r="D42" s="9" t="s">
        <v>29</v>
      </c>
      <c r="E42" s="10">
        <v>0.56499999999999995</v>
      </c>
      <c r="F42" s="10">
        <v>0.245</v>
      </c>
      <c r="G42" s="10">
        <v>0.19500000000000001</v>
      </c>
      <c r="H42" s="10"/>
      <c r="I42" s="11"/>
      <c r="K42" s="12">
        <v>5</v>
      </c>
      <c r="L42" s="12">
        <v>1</v>
      </c>
      <c r="M42" s="9" t="str">
        <f t="shared" si="12"/>
        <v>Netherlands</v>
      </c>
      <c r="N42" s="9" t="str">
        <f t="shared" si="20"/>
        <v>fav win</v>
      </c>
      <c r="P42" s="9" t="str">
        <f t="shared" ref="P42:P63" si="22">+IF(G42&lt;E42,D42,C42)</f>
        <v>Sweden</v>
      </c>
      <c r="Q42" s="9" t="str">
        <f t="shared" ref="Q42:Q59" si="23">+IF(P42=C42,D42,C42)</f>
        <v>Netherlands</v>
      </c>
      <c r="S42" s="9">
        <f t="shared" ref="S42:S61" si="24">+IF(P42=M42,1,0)</f>
        <v>0</v>
      </c>
      <c r="T42" s="10">
        <f t="shared" ref="T42:T59" si="25">+IF(P42=C42,E42,G42)</f>
        <v>0.19500000000000001</v>
      </c>
      <c r="U42" s="10">
        <f t="shared" si="4"/>
        <v>0</v>
      </c>
      <c r="W42" s="9">
        <f t="shared" si="13"/>
        <v>1</v>
      </c>
      <c r="X42" s="10">
        <f t="shared" ref="X42:X59" si="26">+IF(P42=C42,G42,E42)</f>
        <v>0.56499999999999995</v>
      </c>
      <c r="Y42" s="10">
        <f t="shared" si="6"/>
        <v>1.7699115044247788</v>
      </c>
      <c r="AA42" s="9">
        <f t="shared" si="14"/>
        <v>0</v>
      </c>
      <c r="AB42" s="10">
        <f t="shared" si="15"/>
        <v>0.245</v>
      </c>
      <c r="AC42" s="10">
        <f t="shared" si="16"/>
        <v>0</v>
      </c>
      <c r="AE42" s="9">
        <f t="shared" si="7"/>
        <v>0</v>
      </c>
      <c r="AF42" s="10">
        <f t="shared" si="17"/>
        <v>0.43500000000000005</v>
      </c>
      <c r="AG42" s="10">
        <f t="shared" si="18"/>
        <v>0</v>
      </c>
      <c r="AJ42" s="9">
        <f t="shared" si="21"/>
        <v>1</v>
      </c>
      <c r="AK42" s="10">
        <f t="shared" si="19"/>
        <v>0.80499999999999994</v>
      </c>
      <c r="AL42" s="10">
        <f t="shared" si="11"/>
        <v>1.2422360248447206</v>
      </c>
    </row>
    <row r="43" spans="2:38" s="9" customFormat="1" x14ac:dyDescent="0.25">
      <c r="B43" s="8">
        <v>46193</v>
      </c>
      <c r="C43" s="9" t="s">
        <v>23</v>
      </c>
      <c r="D43" s="9" t="s">
        <v>63</v>
      </c>
      <c r="E43" s="10">
        <v>0.63500000000000001</v>
      </c>
      <c r="F43" s="10">
        <v>0.20499999999999999</v>
      </c>
      <c r="G43" s="10">
        <v>0.14499999999999999</v>
      </c>
      <c r="H43" s="10"/>
      <c r="I43" s="11"/>
      <c r="K43" s="12">
        <v>2</v>
      </c>
      <c r="L43" s="12">
        <v>1</v>
      </c>
      <c r="M43" s="9" t="str">
        <f t="shared" si="12"/>
        <v>Germany</v>
      </c>
      <c r="N43" s="9" t="str">
        <f t="shared" si="20"/>
        <v>fav win</v>
      </c>
      <c r="P43" s="9" t="str">
        <f t="shared" si="22"/>
        <v>Ivory Coast</v>
      </c>
      <c r="Q43" s="9" t="str">
        <f t="shared" si="23"/>
        <v>Germany</v>
      </c>
      <c r="S43" s="9">
        <f t="shared" si="24"/>
        <v>0</v>
      </c>
      <c r="T43" s="10">
        <f t="shared" si="25"/>
        <v>0.14499999999999999</v>
      </c>
      <c r="U43" s="10">
        <f t="shared" si="4"/>
        <v>0</v>
      </c>
      <c r="W43" s="9">
        <f t="shared" si="13"/>
        <v>1</v>
      </c>
      <c r="X43" s="10">
        <f t="shared" si="26"/>
        <v>0.63500000000000001</v>
      </c>
      <c r="Y43" s="10">
        <f t="shared" si="6"/>
        <v>1.5748031496062991</v>
      </c>
      <c r="AA43" s="9">
        <f t="shared" si="14"/>
        <v>0</v>
      </c>
      <c r="AB43" s="10">
        <f t="shared" si="15"/>
        <v>0.20499999999999999</v>
      </c>
      <c r="AC43" s="10">
        <f t="shared" si="16"/>
        <v>0</v>
      </c>
      <c r="AE43" s="9">
        <f t="shared" si="7"/>
        <v>0</v>
      </c>
      <c r="AF43" s="10">
        <f t="shared" si="17"/>
        <v>0.36499999999999999</v>
      </c>
      <c r="AG43" s="10">
        <f t="shared" si="18"/>
        <v>0</v>
      </c>
      <c r="AJ43" s="9">
        <f t="shared" si="21"/>
        <v>1</v>
      </c>
      <c r="AK43" s="10">
        <f t="shared" si="19"/>
        <v>0.85499999999999998</v>
      </c>
      <c r="AL43" s="10">
        <f t="shared" si="11"/>
        <v>1.1695906432748537</v>
      </c>
    </row>
    <row r="44" spans="2:38" s="9" customFormat="1" x14ac:dyDescent="0.25">
      <c r="B44" s="8">
        <v>46193</v>
      </c>
      <c r="C44" s="9" t="s">
        <v>64</v>
      </c>
      <c r="D44" s="9" t="s">
        <v>24</v>
      </c>
      <c r="E44" s="10">
        <v>0.85499999999999998</v>
      </c>
      <c r="F44" s="10">
        <v>0.105</v>
      </c>
      <c r="G44" s="10">
        <v>4.7E-2</v>
      </c>
      <c r="H44" s="10"/>
      <c r="I44" s="11"/>
      <c r="K44" s="12">
        <v>0</v>
      </c>
      <c r="L44" s="12">
        <v>0</v>
      </c>
      <c r="M44" s="9" t="str">
        <f t="shared" si="12"/>
        <v>draw</v>
      </c>
      <c r="N44" s="9" t="str">
        <f t="shared" si="20"/>
        <v>draw</v>
      </c>
      <c r="P44" s="9" t="str">
        <f t="shared" si="22"/>
        <v>Curcao</v>
      </c>
      <c r="Q44" s="9" t="str">
        <f t="shared" si="23"/>
        <v>Equador</v>
      </c>
      <c r="S44" s="9">
        <f t="shared" si="24"/>
        <v>0</v>
      </c>
      <c r="T44" s="10">
        <f t="shared" si="25"/>
        <v>4.7E-2</v>
      </c>
      <c r="U44" s="10">
        <f t="shared" si="4"/>
        <v>0</v>
      </c>
      <c r="W44" s="9">
        <f t="shared" si="13"/>
        <v>0</v>
      </c>
      <c r="X44" s="10">
        <f t="shared" si="26"/>
        <v>0.85499999999999998</v>
      </c>
      <c r="Y44" s="10">
        <f t="shared" si="6"/>
        <v>0</v>
      </c>
      <c r="AA44" s="9">
        <f t="shared" si="14"/>
        <v>1</v>
      </c>
      <c r="AB44" s="10">
        <f t="shared" si="15"/>
        <v>0.105</v>
      </c>
      <c r="AC44" s="10">
        <f t="shared" si="16"/>
        <v>8.5238095238095237</v>
      </c>
      <c r="AE44" s="9">
        <f t="shared" si="7"/>
        <v>1</v>
      </c>
      <c r="AF44" s="10">
        <f t="shared" si="17"/>
        <v>0.14500000000000002</v>
      </c>
      <c r="AG44" s="10">
        <f t="shared" si="18"/>
        <v>6.8965517241379306</v>
      </c>
      <c r="AJ44" s="9">
        <f t="shared" si="21"/>
        <v>0</v>
      </c>
      <c r="AK44" s="10">
        <f t="shared" si="19"/>
        <v>0.95299999999999996</v>
      </c>
      <c r="AL44" s="10">
        <f t="shared" si="11"/>
        <v>0</v>
      </c>
    </row>
    <row r="45" spans="2:38" s="9" customFormat="1" x14ac:dyDescent="0.25">
      <c r="B45" s="8">
        <v>46193</v>
      </c>
      <c r="C45" s="9" t="s">
        <v>30</v>
      </c>
      <c r="D45" s="9" t="s">
        <v>26</v>
      </c>
      <c r="E45" s="10">
        <v>0.105</v>
      </c>
      <c r="F45" s="10">
        <v>0.22500000000000001</v>
      </c>
      <c r="G45" s="10">
        <v>0.66500000000000004</v>
      </c>
      <c r="H45" s="10"/>
      <c r="I45" s="11"/>
      <c r="K45" s="12">
        <v>0</v>
      </c>
      <c r="L45" s="12">
        <v>4</v>
      </c>
      <c r="M45" s="9" t="str">
        <f t="shared" si="12"/>
        <v>Japan</v>
      </c>
      <c r="N45" s="9" t="str">
        <f t="shared" si="20"/>
        <v>fav win</v>
      </c>
      <c r="P45" s="9" t="str">
        <f t="shared" si="22"/>
        <v>Tunisia</v>
      </c>
      <c r="Q45" s="9" t="str">
        <f t="shared" si="23"/>
        <v>Japan</v>
      </c>
      <c r="S45" s="9">
        <f t="shared" si="24"/>
        <v>0</v>
      </c>
      <c r="T45" s="10">
        <f t="shared" si="25"/>
        <v>0.105</v>
      </c>
      <c r="U45" s="10">
        <f t="shared" si="4"/>
        <v>0</v>
      </c>
      <c r="W45" s="9">
        <f t="shared" si="13"/>
        <v>1</v>
      </c>
      <c r="X45" s="10">
        <f t="shared" si="26"/>
        <v>0.66500000000000004</v>
      </c>
      <c r="Y45" s="10">
        <f t="shared" si="6"/>
        <v>1.5037593984962405</v>
      </c>
      <c r="AA45" s="9">
        <f t="shared" si="14"/>
        <v>0</v>
      </c>
      <c r="AB45" s="10">
        <f t="shared" si="15"/>
        <v>0.22500000000000001</v>
      </c>
      <c r="AC45" s="10">
        <f t="shared" si="16"/>
        <v>0</v>
      </c>
      <c r="AE45" s="9">
        <f t="shared" si="7"/>
        <v>0</v>
      </c>
      <c r="AF45" s="10">
        <f t="shared" si="17"/>
        <v>0.33499999999999996</v>
      </c>
      <c r="AG45" s="10">
        <f t="shared" si="18"/>
        <v>0</v>
      </c>
      <c r="AJ45" s="9">
        <f t="shared" si="21"/>
        <v>1</v>
      </c>
      <c r="AK45" s="10">
        <f t="shared" si="19"/>
        <v>0.89500000000000002</v>
      </c>
      <c r="AL45" s="10">
        <f t="shared" si="11"/>
        <v>1.1173184357541899</v>
      </c>
    </row>
    <row r="46" spans="2:38" s="9" customFormat="1" x14ac:dyDescent="0.25">
      <c r="B46" s="8">
        <v>46194</v>
      </c>
      <c r="C46" s="9" t="s">
        <v>43</v>
      </c>
      <c r="D46" s="9" t="s">
        <v>41</v>
      </c>
      <c r="E46" s="10">
        <v>0.90500000000000003</v>
      </c>
      <c r="F46" s="10">
        <v>7.4999999999999997E-2</v>
      </c>
      <c r="G46" s="10">
        <v>2.9000000000000001E-2</v>
      </c>
      <c r="H46" s="10"/>
      <c r="I46" s="11"/>
      <c r="K46" s="12">
        <v>4</v>
      </c>
      <c r="L46" s="12">
        <v>0</v>
      </c>
      <c r="M46" s="9" t="str">
        <f t="shared" si="12"/>
        <v>Spain</v>
      </c>
      <c r="N46" s="9" t="str">
        <f t="shared" si="20"/>
        <v>fav win</v>
      </c>
      <c r="P46" s="9" t="str">
        <f t="shared" si="22"/>
        <v>Saudi Arabia</v>
      </c>
      <c r="Q46" s="9" t="str">
        <f t="shared" si="23"/>
        <v>Spain</v>
      </c>
      <c r="S46" s="9">
        <f t="shared" si="24"/>
        <v>0</v>
      </c>
      <c r="T46" s="10">
        <f t="shared" si="25"/>
        <v>2.9000000000000001E-2</v>
      </c>
      <c r="U46" s="10">
        <f t="shared" si="4"/>
        <v>0</v>
      </c>
      <c r="W46" s="9">
        <f t="shared" si="13"/>
        <v>1</v>
      </c>
      <c r="X46" s="10">
        <f t="shared" si="26"/>
        <v>0.90500000000000003</v>
      </c>
      <c r="Y46" s="10">
        <f t="shared" si="6"/>
        <v>1.1049723756906078</v>
      </c>
      <c r="AA46" s="9">
        <f t="shared" si="14"/>
        <v>0</v>
      </c>
      <c r="AB46" s="10">
        <f t="shared" si="15"/>
        <v>7.4999999999999997E-2</v>
      </c>
      <c r="AC46" s="10">
        <f t="shared" si="16"/>
        <v>0</v>
      </c>
      <c r="AE46" s="9">
        <f t="shared" si="7"/>
        <v>0</v>
      </c>
      <c r="AF46" s="10">
        <f t="shared" si="17"/>
        <v>9.4999999999999973E-2</v>
      </c>
      <c r="AG46" s="10">
        <f t="shared" si="18"/>
        <v>0</v>
      </c>
      <c r="AJ46" s="9">
        <f t="shared" si="21"/>
        <v>1</v>
      </c>
      <c r="AK46" s="10">
        <f t="shared" si="19"/>
        <v>0.97099999999999997</v>
      </c>
      <c r="AL46" s="10">
        <f t="shared" si="11"/>
        <v>1.0298661174047374</v>
      </c>
    </row>
    <row r="47" spans="2:38" s="9" customFormat="1" x14ac:dyDescent="0.25">
      <c r="B47" s="8">
        <v>46194</v>
      </c>
      <c r="C47" s="9" t="s">
        <v>47</v>
      </c>
      <c r="D47" s="9" t="s">
        <v>45</v>
      </c>
      <c r="E47" s="10">
        <v>0.71499999999999997</v>
      </c>
      <c r="F47" s="10">
        <v>0.19500000000000001</v>
      </c>
      <c r="G47" s="10">
        <v>9.5000000000000001E-2</v>
      </c>
      <c r="H47" s="10"/>
      <c r="I47" s="11"/>
      <c r="K47" s="12">
        <v>0</v>
      </c>
      <c r="L47" s="12">
        <v>0</v>
      </c>
      <c r="M47" s="9" t="str">
        <f t="shared" si="12"/>
        <v>draw</v>
      </c>
      <c r="N47" s="9" t="str">
        <f t="shared" si="20"/>
        <v>draw</v>
      </c>
      <c r="P47" s="9" t="str">
        <f t="shared" si="22"/>
        <v>Iran</v>
      </c>
      <c r="Q47" s="9" t="str">
        <f t="shared" si="23"/>
        <v>Belgium</v>
      </c>
      <c r="S47" s="9">
        <f t="shared" si="24"/>
        <v>0</v>
      </c>
      <c r="T47" s="10">
        <f t="shared" si="25"/>
        <v>9.5000000000000001E-2</v>
      </c>
      <c r="U47" s="10">
        <f t="shared" si="4"/>
        <v>0</v>
      </c>
      <c r="W47" s="9">
        <f t="shared" si="13"/>
        <v>0</v>
      </c>
      <c r="X47" s="10">
        <f t="shared" si="26"/>
        <v>0.71499999999999997</v>
      </c>
      <c r="Y47" s="10">
        <f t="shared" si="6"/>
        <v>0</v>
      </c>
      <c r="AA47" s="9">
        <f t="shared" si="14"/>
        <v>1</v>
      </c>
      <c r="AB47" s="10">
        <f t="shared" si="15"/>
        <v>0.19500000000000001</v>
      </c>
      <c r="AC47" s="10">
        <f t="shared" si="16"/>
        <v>4.1282051282051277</v>
      </c>
      <c r="AE47" s="9">
        <f t="shared" si="7"/>
        <v>1</v>
      </c>
      <c r="AF47" s="10">
        <f t="shared" si="17"/>
        <v>0.28500000000000003</v>
      </c>
      <c r="AG47" s="10">
        <f t="shared" si="18"/>
        <v>3.5087719298245612</v>
      </c>
      <c r="AJ47" s="9">
        <f t="shared" si="21"/>
        <v>0</v>
      </c>
      <c r="AK47" s="10">
        <f t="shared" si="19"/>
        <v>0.90500000000000003</v>
      </c>
      <c r="AL47" s="10">
        <f t="shared" si="11"/>
        <v>0</v>
      </c>
    </row>
    <row r="48" spans="2:38" s="9" customFormat="1" x14ac:dyDescent="0.25">
      <c r="B48" s="8">
        <v>46194</v>
      </c>
      <c r="C48" s="9" t="s">
        <v>42</v>
      </c>
      <c r="D48" s="9" t="s">
        <v>40</v>
      </c>
      <c r="E48" s="10">
        <v>0.70499999999999996</v>
      </c>
      <c r="F48" s="10">
        <v>0.215</v>
      </c>
      <c r="G48" s="10">
        <v>8.5000000000000006E-2</v>
      </c>
      <c r="H48" s="10"/>
      <c r="I48" s="11"/>
      <c r="K48" s="12">
        <v>2</v>
      </c>
      <c r="L48" s="12">
        <v>2</v>
      </c>
      <c r="M48" s="9" t="str">
        <f t="shared" si="12"/>
        <v>draw</v>
      </c>
      <c r="N48" s="9" t="str">
        <f t="shared" si="20"/>
        <v>draw</v>
      </c>
      <c r="P48" s="9" t="str">
        <f t="shared" si="22"/>
        <v>Cabo Verde</v>
      </c>
      <c r="Q48" s="9" t="str">
        <f t="shared" si="23"/>
        <v>Uruguay</v>
      </c>
      <c r="S48" s="9">
        <f t="shared" si="24"/>
        <v>0</v>
      </c>
      <c r="T48" s="10">
        <f t="shared" si="25"/>
        <v>8.5000000000000006E-2</v>
      </c>
      <c r="U48" s="10">
        <f t="shared" si="4"/>
        <v>0</v>
      </c>
      <c r="W48" s="9">
        <f t="shared" si="13"/>
        <v>0</v>
      </c>
      <c r="X48" s="10">
        <f t="shared" si="26"/>
        <v>0.70499999999999996</v>
      </c>
      <c r="Y48" s="10">
        <f t="shared" si="6"/>
        <v>0</v>
      </c>
      <c r="AA48" s="9">
        <f t="shared" si="14"/>
        <v>1</v>
      </c>
      <c r="AB48" s="10">
        <f t="shared" si="15"/>
        <v>0.215</v>
      </c>
      <c r="AC48" s="10">
        <f t="shared" si="16"/>
        <v>3.6511627906976747</v>
      </c>
      <c r="AE48" s="9">
        <f t="shared" si="7"/>
        <v>1</v>
      </c>
      <c r="AF48" s="10">
        <f t="shared" si="17"/>
        <v>0.29500000000000004</v>
      </c>
      <c r="AG48" s="10">
        <f t="shared" si="18"/>
        <v>3.3898305084745757</v>
      </c>
      <c r="AJ48" s="9">
        <f t="shared" si="21"/>
        <v>0</v>
      </c>
      <c r="AK48" s="10">
        <f t="shared" si="19"/>
        <v>0.91500000000000004</v>
      </c>
      <c r="AL48" s="10">
        <f t="shared" si="11"/>
        <v>0</v>
      </c>
    </row>
    <row r="49" spans="2:38" s="9" customFormat="1" x14ac:dyDescent="0.25">
      <c r="B49" s="8">
        <v>46194</v>
      </c>
      <c r="C49" s="9" t="s">
        <v>46</v>
      </c>
      <c r="D49" s="9" t="s">
        <v>44</v>
      </c>
      <c r="E49" s="10">
        <v>0.155</v>
      </c>
      <c r="F49" s="10">
        <v>0.255</v>
      </c>
      <c r="G49" s="10">
        <v>0.60499999999999998</v>
      </c>
      <c r="H49" s="10"/>
      <c r="I49" s="11"/>
      <c r="K49" s="12">
        <v>1</v>
      </c>
      <c r="L49" s="12">
        <v>3</v>
      </c>
      <c r="M49" s="9" t="str">
        <f t="shared" si="12"/>
        <v>Egypt</v>
      </c>
      <c r="N49" s="9" t="str">
        <f t="shared" si="20"/>
        <v>fav win</v>
      </c>
      <c r="P49" s="9" t="str">
        <f t="shared" si="22"/>
        <v>New Zeland</v>
      </c>
      <c r="Q49" s="9" t="str">
        <f t="shared" si="23"/>
        <v>Egypt</v>
      </c>
      <c r="S49" s="9">
        <f t="shared" si="24"/>
        <v>0</v>
      </c>
      <c r="T49" s="10">
        <f t="shared" si="25"/>
        <v>0.155</v>
      </c>
      <c r="U49" s="10">
        <f t="shared" si="4"/>
        <v>0</v>
      </c>
      <c r="W49" s="9">
        <f t="shared" si="13"/>
        <v>1</v>
      </c>
      <c r="X49" s="10">
        <f t="shared" si="26"/>
        <v>0.60499999999999998</v>
      </c>
      <c r="Y49" s="10">
        <f t="shared" si="6"/>
        <v>1.6528925619834711</v>
      </c>
      <c r="AA49" s="9">
        <f t="shared" si="14"/>
        <v>0</v>
      </c>
      <c r="AB49" s="10">
        <f t="shared" si="15"/>
        <v>0.255</v>
      </c>
      <c r="AC49" s="10">
        <f t="shared" si="16"/>
        <v>0</v>
      </c>
      <c r="AE49" s="9">
        <f t="shared" si="7"/>
        <v>0</v>
      </c>
      <c r="AF49" s="10">
        <f t="shared" si="17"/>
        <v>0.39500000000000002</v>
      </c>
      <c r="AG49" s="10">
        <f t="shared" si="18"/>
        <v>0</v>
      </c>
      <c r="AJ49" s="9">
        <f t="shared" si="21"/>
        <v>1</v>
      </c>
      <c r="AK49" s="10">
        <f t="shared" si="19"/>
        <v>0.84499999999999997</v>
      </c>
      <c r="AL49" s="10">
        <f t="shared" si="11"/>
        <v>1.1834319526627219</v>
      </c>
    </row>
    <row r="50" spans="2:38" s="9" customFormat="1" x14ac:dyDescent="0.25">
      <c r="B50" s="8">
        <v>46195</v>
      </c>
      <c r="C50" s="9" t="s">
        <v>58</v>
      </c>
      <c r="D50" s="9" t="s">
        <v>56</v>
      </c>
      <c r="E50" s="10">
        <v>0.625</v>
      </c>
      <c r="F50" s="10">
        <v>0.255</v>
      </c>
      <c r="G50" s="10">
        <v>0.115</v>
      </c>
      <c r="H50" s="10"/>
      <c r="I50" s="11"/>
      <c r="K50" s="12">
        <v>2</v>
      </c>
      <c r="L50" s="12">
        <v>0</v>
      </c>
      <c r="M50" s="9" t="str">
        <f t="shared" si="12"/>
        <v>Argentina</v>
      </c>
      <c r="N50" s="9" t="str">
        <f t="shared" si="20"/>
        <v>fav win</v>
      </c>
      <c r="P50" s="9" t="str">
        <f t="shared" si="22"/>
        <v>Austria</v>
      </c>
      <c r="Q50" s="9" t="str">
        <f t="shared" si="23"/>
        <v>Argentina</v>
      </c>
      <c r="S50" s="9">
        <f t="shared" si="24"/>
        <v>0</v>
      </c>
      <c r="T50" s="10">
        <f t="shared" si="25"/>
        <v>0.115</v>
      </c>
      <c r="U50" s="10">
        <f t="shared" si="4"/>
        <v>0</v>
      </c>
      <c r="W50" s="9">
        <f t="shared" si="13"/>
        <v>1</v>
      </c>
      <c r="X50" s="10">
        <f t="shared" si="26"/>
        <v>0.625</v>
      </c>
      <c r="Y50" s="10">
        <f t="shared" si="6"/>
        <v>1.6</v>
      </c>
      <c r="AA50" s="9">
        <f t="shared" si="14"/>
        <v>0</v>
      </c>
      <c r="AB50" s="10">
        <f t="shared" si="15"/>
        <v>0.255</v>
      </c>
      <c r="AC50" s="10">
        <f t="shared" si="16"/>
        <v>0</v>
      </c>
      <c r="AE50" s="9">
        <f t="shared" si="7"/>
        <v>0</v>
      </c>
      <c r="AF50" s="10">
        <f t="shared" si="17"/>
        <v>0.375</v>
      </c>
      <c r="AG50" s="10">
        <f t="shared" si="18"/>
        <v>0</v>
      </c>
      <c r="AJ50" s="9">
        <f t="shared" si="21"/>
        <v>1</v>
      </c>
      <c r="AK50" s="10">
        <f t="shared" si="19"/>
        <v>0.88500000000000001</v>
      </c>
      <c r="AL50" s="10">
        <f t="shared" si="11"/>
        <v>1.1299435028248588</v>
      </c>
    </row>
    <row r="51" spans="2:38" s="9" customFormat="1" x14ac:dyDescent="0.25">
      <c r="B51" s="8">
        <v>46195</v>
      </c>
      <c r="C51" s="9" t="s">
        <v>37</v>
      </c>
      <c r="D51" s="9" t="s">
        <v>39</v>
      </c>
      <c r="E51" s="10">
        <v>0.91500000000000004</v>
      </c>
      <c r="F51" s="10">
        <v>6.5000000000000002E-2</v>
      </c>
      <c r="G51" s="10">
        <v>2.1000000000000001E-2</v>
      </c>
      <c r="H51" s="10"/>
      <c r="I51" s="11"/>
      <c r="K51" s="12">
        <v>3</v>
      </c>
      <c r="L51" s="12">
        <v>0</v>
      </c>
      <c r="M51" s="9" t="str">
        <f t="shared" si="12"/>
        <v>France</v>
      </c>
      <c r="N51" s="9" t="str">
        <f t="shared" si="20"/>
        <v>fav win</v>
      </c>
      <c r="P51" s="9" t="str">
        <f t="shared" si="22"/>
        <v>Iraq</v>
      </c>
      <c r="Q51" s="9" t="str">
        <f t="shared" si="23"/>
        <v>France</v>
      </c>
      <c r="S51" s="9">
        <f t="shared" si="24"/>
        <v>0</v>
      </c>
      <c r="T51" s="10">
        <f t="shared" si="25"/>
        <v>2.1000000000000001E-2</v>
      </c>
      <c r="U51" s="10">
        <f t="shared" si="4"/>
        <v>0</v>
      </c>
      <c r="W51" s="9">
        <f t="shared" si="13"/>
        <v>1</v>
      </c>
      <c r="X51" s="10">
        <f t="shared" si="26"/>
        <v>0.91500000000000004</v>
      </c>
      <c r="Y51" s="10">
        <f t="shared" si="6"/>
        <v>1.0928961748633879</v>
      </c>
      <c r="AA51" s="9">
        <f t="shared" si="14"/>
        <v>0</v>
      </c>
      <c r="AB51" s="10">
        <f t="shared" si="15"/>
        <v>6.5000000000000002E-2</v>
      </c>
      <c r="AC51" s="10">
        <f t="shared" si="16"/>
        <v>0</v>
      </c>
      <c r="AE51" s="9">
        <f t="shared" si="7"/>
        <v>0</v>
      </c>
      <c r="AF51" s="10">
        <f t="shared" si="17"/>
        <v>8.4999999999999964E-2</v>
      </c>
      <c r="AG51" s="10">
        <f t="shared" si="18"/>
        <v>0</v>
      </c>
      <c r="AJ51" s="9">
        <f t="shared" si="21"/>
        <v>1</v>
      </c>
      <c r="AK51" s="10">
        <f t="shared" si="19"/>
        <v>0.97899999999999998</v>
      </c>
      <c r="AL51" s="10">
        <f t="shared" si="11"/>
        <v>1.0214504596527068</v>
      </c>
    </row>
    <row r="52" spans="2:38" s="9" customFormat="1" x14ac:dyDescent="0.25">
      <c r="B52" s="8">
        <v>46195</v>
      </c>
      <c r="C52" s="9" t="s">
        <v>36</v>
      </c>
      <c r="D52" s="9" t="s">
        <v>38</v>
      </c>
      <c r="E52" s="10">
        <v>0.38500000000000001</v>
      </c>
      <c r="F52" s="10">
        <v>0.33500000000000002</v>
      </c>
      <c r="G52" s="10">
        <v>0.29499999999999998</v>
      </c>
      <c r="H52" s="10"/>
      <c r="I52" s="11"/>
      <c r="K52" s="12">
        <v>3</v>
      </c>
      <c r="L52" s="12">
        <v>2</v>
      </c>
      <c r="M52" s="9" t="str">
        <f t="shared" si="12"/>
        <v>Norway</v>
      </c>
      <c r="N52" s="9" t="str">
        <f t="shared" si="20"/>
        <v>fav win</v>
      </c>
      <c r="P52" s="9" t="str">
        <f t="shared" si="22"/>
        <v>Senegal</v>
      </c>
      <c r="Q52" s="9" t="str">
        <f t="shared" si="23"/>
        <v>Norway</v>
      </c>
      <c r="S52" s="9">
        <f t="shared" si="24"/>
        <v>0</v>
      </c>
      <c r="T52" s="10">
        <f t="shared" si="25"/>
        <v>0.29499999999999998</v>
      </c>
      <c r="U52" s="10">
        <f t="shared" si="4"/>
        <v>0</v>
      </c>
      <c r="W52" s="9">
        <f t="shared" si="13"/>
        <v>1</v>
      </c>
      <c r="X52" s="10">
        <f t="shared" si="26"/>
        <v>0.38500000000000001</v>
      </c>
      <c r="Y52" s="10">
        <f t="shared" si="6"/>
        <v>2.5974025974025974</v>
      </c>
      <c r="AA52" s="9">
        <f t="shared" si="14"/>
        <v>0</v>
      </c>
      <c r="AB52" s="10">
        <f t="shared" si="15"/>
        <v>0.33500000000000002</v>
      </c>
      <c r="AC52" s="10">
        <f t="shared" si="16"/>
        <v>0</v>
      </c>
      <c r="AE52" s="9">
        <f t="shared" si="7"/>
        <v>0</v>
      </c>
      <c r="AF52" s="10">
        <f t="shared" si="17"/>
        <v>0.61499999999999999</v>
      </c>
      <c r="AG52" s="10">
        <f t="shared" si="18"/>
        <v>0</v>
      </c>
      <c r="AJ52" s="9">
        <f t="shared" si="21"/>
        <v>1</v>
      </c>
      <c r="AK52" s="10">
        <f t="shared" si="19"/>
        <v>0.70500000000000007</v>
      </c>
      <c r="AL52" s="10">
        <f t="shared" si="11"/>
        <v>1.4184397163120566</v>
      </c>
    </row>
    <row r="53" spans="2:38" s="9" customFormat="1" x14ac:dyDescent="0.25">
      <c r="B53" s="8">
        <v>46195</v>
      </c>
      <c r="C53" s="9" t="s">
        <v>57</v>
      </c>
      <c r="D53" s="9" t="s">
        <v>55</v>
      </c>
      <c r="E53" s="10">
        <v>0.13500000000000001</v>
      </c>
      <c r="F53" s="10">
        <v>0.22500000000000001</v>
      </c>
      <c r="G53" s="10">
        <v>0.64500000000000002</v>
      </c>
      <c r="H53" s="10"/>
      <c r="I53" s="11"/>
      <c r="K53" s="12">
        <v>1</v>
      </c>
      <c r="L53" s="12">
        <v>2</v>
      </c>
      <c r="M53" s="9" t="str">
        <f t="shared" si="12"/>
        <v>Algeria</v>
      </c>
      <c r="N53" s="9" t="str">
        <f t="shared" si="20"/>
        <v>fav win</v>
      </c>
      <c r="P53" s="9" t="str">
        <f t="shared" si="22"/>
        <v>Jordan</v>
      </c>
      <c r="Q53" s="9" t="str">
        <f t="shared" si="23"/>
        <v>Algeria</v>
      </c>
      <c r="S53" s="9">
        <f t="shared" si="24"/>
        <v>0</v>
      </c>
      <c r="T53" s="10">
        <f t="shared" si="25"/>
        <v>0.13500000000000001</v>
      </c>
      <c r="U53" s="10">
        <f t="shared" si="4"/>
        <v>0</v>
      </c>
      <c r="W53" s="9">
        <f t="shared" si="13"/>
        <v>1</v>
      </c>
      <c r="X53" s="10">
        <f t="shared" si="26"/>
        <v>0.64500000000000002</v>
      </c>
      <c r="Y53" s="10">
        <f t="shared" si="6"/>
        <v>1.5503875968992247</v>
      </c>
      <c r="AA53" s="9">
        <f t="shared" si="14"/>
        <v>0</v>
      </c>
      <c r="AB53" s="10">
        <f t="shared" si="15"/>
        <v>0.22500000000000001</v>
      </c>
      <c r="AC53" s="10">
        <f t="shared" si="16"/>
        <v>0</v>
      </c>
      <c r="AE53" s="9">
        <f t="shared" si="7"/>
        <v>0</v>
      </c>
      <c r="AF53" s="10">
        <f t="shared" si="17"/>
        <v>0.35499999999999998</v>
      </c>
      <c r="AG53" s="10">
        <f t="shared" si="18"/>
        <v>0</v>
      </c>
      <c r="AJ53" s="9">
        <f t="shared" si="21"/>
        <v>1</v>
      </c>
      <c r="AK53" s="10">
        <f t="shared" si="19"/>
        <v>0.86499999999999999</v>
      </c>
      <c r="AL53" s="10">
        <f t="shared" si="11"/>
        <v>1.1560693641618498</v>
      </c>
    </row>
    <row r="54" spans="2:38" s="9" customFormat="1" x14ac:dyDescent="0.25">
      <c r="B54" s="8">
        <v>46196</v>
      </c>
      <c r="C54" s="9" t="s">
        <v>61</v>
      </c>
      <c r="D54" s="9" t="s">
        <v>54</v>
      </c>
      <c r="E54" s="10">
        <v>0.86499999999999999</v>
      </c>
      <c r="F54" s="10">
        <v>0.105</v>
      </c>
      <c r="G54" s="10">
        <v>3.5000000000000003E-2</v>
      </c>
      <c r="H54" s="10"/>
      <c r="I54" s="11"/>
      <c r="K54" s="12">
        <v>5</v>
      </c>
      <c r="L54" s="12">
        <v>0</v>
      </c>
      <c r="M54" s="9" t="str">
        <f t="shared" si="12"/>
        <v>Portugalia</v>
      </c>
      <c r="N54" s="9" t="str">
        <f t="shared" si="20"/>
        <v>fav win</v>
      </c>
      <c r="P54" s="9" t="str">
        <f t="shared" si="22"/>
        <v>Uzbekistan</v>
      </c>
      <c r="Q54" s="9" t="str">
        <f t="shared" si="23"/>
        <v>Portugalia</v>
      </c>
      <c r="S54" s="9">
        <f t="shared" si="24"/>
        <v>0</v>
      </c>
      <c r="T54" s="10">
        <f t="shared" si="25"/>
        <v>3.5000000000000003E-2</v>
      </c>
      <c r="U54" s="10">
        <f t="shared" si="4"/>
        <v>0</v>
      </c>
      <c r="W54" s="9">
        <f t="shared" si="13"/>
        <v>1</v>
      </c>
      <c r="X54" s="10">
        <f t="shared" si="26"/>
        <v>0.86499999999999999</v>
      </c>
      <c r="Y54" s="10">
        <f t="shared" si="6"/>
        <v>1.1560693641618498</v>
      </c>
      <c r="AA54" s="9">
        <f t="shared" si="14"/>
        <v>0</v>
      </c>
      <c r="AB54" s="10">
        <f t="shared" si="15"/>
        <v>0.105</v>
      </c>
      <c r="AC54" s="10">
        <f t="shared" si="16"/>
        <v>0</v>
      </c>
      <c r="AE54" s="9">
        <f t="shared" si="7"/>
        <v>0</v>
      </c>
      <c r="AF54" s="10">
        <f t="shared" si="17"/>
        <v>0.13500000000000001</v>
      </c>
      <c r="AG54" s="10">
        <f t="shared" si="18"/>
        <v>0</v>
      </c>
      <c r="AJ54" s="9">
        <f t="shared" si="21"/>
        <v>1</v>
      </c>
      <c r="AK54" s="10">
        <f t="shared" si="19"/>
        <v>0.96499999999999997</v>
      </c>
      <c r="AL54" s="10">
        <f t="shared" si="11"/>
        <v>1.0362694300518136</v>
      </c>
    </row>
    <row r="55" spans="2:38" s="9" customFormat="1" x14ac:dyDescent="0.25">
      <c r="B55" s="8">
        <v>46196</v>
      </c>
      <c r="C55" s="9" t="s">
        <v>51</v>
      </c>
      <c r="D55" s="9" t="s">
        <v>49</v>
      </c>
      <c r="E55" s="10">
        <v>0.67500000000000004</v>
      </c>
      <c r="F55" s="10">
        <v>0.26500000000000001</v>
      </c>
      <c r="G55" s="10">
        <v>6.5000000000000002E-2</v>
      </c>
      <c r="H55" s="10"/>
      <c r="I55" s="11"/>
      <c r="K55" s="12">
        <v>0</v>
      </c>
      <c r="L55" s="12">
        <v>0</v>
      </c>
      <c r="M55" s="9" t="str">
        <f t="shared" si="12"/>
        <v>draw</v>
      </c>
      <c r="N55" s="9" t="str">
        <f t="shared" si="20"/>
        <v>draw</v>
      </c>
      <c r="P55" s="9" t="str">
        <f t="shared" si="22"/>
        <v>Ghana</v>
      </c>
      <c r="Q55" s="9" t="str">
        <f t="shared" si="23"/>
        <v>England</v>
      </c>
      <c r="S55" s="9">
        <f t="shared" si="24"/>
        <v>0</v>
      </c>
      <c r="T55" s="10">
        <f t="shared" si="25"/>
        <v>6.5000000000000002E-2</v>
      </c>
      <c r="U55" s="10">
        <f t="shared" si="4"/>
        <v>0</v>
      </c>
      <c r="W55" s="9">
        <f t="shared" si="13"/>
        <v>0</v>
      </c>
      <c r="X55" s="10">
        <f t="shared" si="26"/>
        <v>0.67500000000000004</v>
      </c>
      <c r="Y55" s="10">
        <f t="shared" si="6"/>
        <v>0</v>
      </c>
      <c r="AA55" s="9">
        <f t="shared" si="14"/>
        <v>1</v>
      </c>
      <c r="AB55" s="10">
        <f t="shared" si="15"/>
        <v>0.26500000000000001</v>
      </c>
      <c r="AC55" s="10">
        <f t="shared" si="16"/>
        <v>2.773584905660377</v>
      </c>
      <c r="AE55" s="9">
        <f t="shared" si="7"/>
        <v>1</v>
      </c>
      <c r="AF55" s="10">
        <f t="shared" si="17"/>
        <v>0.32499999999999996</v>
      </c>
      <c r="AG55" s="10">
        <f t="shared" si="18"/>
        <v>3.0769230769230775</v>
      </c>
      <c r="AJ55" s="9">
        <f t="shared" si="21"/>
        <v>0</v>
      </c>
      <c r="AK55" s="10">
        <f t="shared" si="19"/>
        <v>0.93500000000000005</v>
      </c>
      <c r="AL55" s="10">
        <f t="shared" si="11"/>
        <v>0</v>
      </c>
    </row>
    <row r="56" spans="2:38" s="9" customFormat="1" x14ac:dyDescent="0.25">
      <c r="B56" s="8">
        <v>46196</v>
      </c>
      <c r="C56" s="9" t="s">
        <v>50</v>
      </c>
      <c r="D56" s="9" t="s">
        <v>48</v>
      </c>
      <c r="E56" s="10">
        <v>0.16500000000000001</v>
      </c>
      <c r="F56" s="10">
        <v>0.32500000000000001</v>
      </c>
      <c r="G56" s="10">
        <v>0.505</v>
      </c>
      <c r="H56" s="10"/>
      <c r="I56" s="11"/>
      <c r="K56" s="12">
        <v>0</v>
      </c>
      <c r="L56" s="12">
        <v>1</v>
      </c>
      <c r="M56" s="9" t="str">
        <f t="shared" si="12"/>
        <v>Croatia</v>
      </c>
      <c r="N56" s="9" t="str">
        <f t="shared" si="20"/>
        <v>fav win</v>
      </c>
      <c r="P56" s="9" t="str">
        <f t="shared" si="22"/>
        <v>Panama</v>
      </c>
      <c r="Q56" s="9" t="str">
        <f t="shared" si="23"/>
        <v>Croatia</v>
      </c>
      <c r="S56" s="9">
        <f t="shared" si="24"/>
        <v>0</v>
      </c>
      <c r="T56" s="10">
        <f t="shared" si="25"/>
        <v>0.16500000000000001</v>
      </c>
      <c r="U56" s="10">
        <f t="shared" si="4"/>
        <v>0</v>
      </c>
      <c r="W56" s="9">
        <f t="shared" si="13"/>
        <v>1</v>
      </c>
      <c r="X56" s="10">
        <f t="shared" si="26"/>
        <v>0.505</v>
      </c>
      <c r="Y56" s="10">
        <f t="shared" si="6"/>
        <v>1.9801980198019802</v>
      </c>
      <c r="AA56" s="9">
        <f t="shared" si="14"/>
        <v>0</v>
      </c>
      <c r="AB56" s="10">
        <f t="shared" si="15"/>
        <v>0.32500000000000001</v>
      </c>
      <c r="AC56" s="10">
        <f t="shared" si="16"/>
        <v>0</v>
      </c>
      <c r="AE56" s="9">
        <f t="shared" si="7"/>
        <v>0</v>
      </c>
      <c r="AF56" s="10">
        <f t="shared" si="17"/>
        <v>0.495</v>
      </c>
      <c r="AG56" s="10">
        <f t="shared" si="18"/>
        <v>0</v>
      </c>
      <c r="AJ56" s="9">
        <f t="shared" si="21"/>
        <v>1</v>
      </c>
      <c r="AK56" s="10">
        <f t="shared" si="19"/>
        <v>0.83499999999999996</v>
      </c>
      <c r="AL56" s="10">
        <f t="shared" si="11"/>
        <v>1.1976047904191618</v>
      </c>
    </row>
    <row r="57" spans="2:38" s="9" customFormat="1" x14ac:dyDescent="0.25">
      <c r="B57" s="8">
        <v>46196</v>
      </c>
      <c r="C57" s="9" t="s">
        <v>52</v>
      </c>
      <c r="D57" s="9" t="s">
        <v>62</v>
      </c>
      <c r="E57" s="10">
        <v>0.63500000000000001</v>
      </c>
      <c r="F57" s="10">
        <v>0.23499999999999999</v>
      </c>
      <c r="G57" s="10">
        <v>0.13500000000000001</v>
      </c>
      <c r="H57" s="10"/>
      <c r="I57" s="11"/>
      <c r="K57" s="12">
        <v>1</v>
      </c>
      <c r="L57" s="12">
        <v>0</v>
      </c>
      <c r="M57" s="9" t="str">
        <f t="shared" si="12"/>
        <v>Colombia</v>
      </c>
      <c r="N57" s="9" t="str">
        <f t="shared" si="20"/>
        <v>fav win</v>
      </c>
      <c r="P57" s="9" t="str">
        <f t="shared" si="22"/>
        <v>DRC</v>
      </c>
      <c r="Q57" s="9" t="str">
        <f t="shared" si="23"/>
        <v>Colombia</v>
      </c>
      <c r="S57" s="9">
        <f t="shared" si="24"/>
        <v>0</v>
      </c>
      <c r="T57" s="10">
        <f t="shared" si="25"/>
        <v>0.13500000000000001</v>
      </c>
      <c r="U57" s="10">
        <f t="shared" si="4"/>
        <v>0</v>
      </c>
      <c r="W57" s="9">
        <f t="shared" si="13"/>
        <v>1</v>
      </c>
      <c r="X57" s="10">
        <f t="shared" si="26"/>
        <v>0.63500000000000001</v>
      </c>
      <c r="Y57" s="10">
        <f t="shared" si="6"/>
        <v>1.5748031496062991</v>
      </c>
      <c r="AA57" s="9">
        <f t="shared" si="14"/>
        <v>0</v>
      </c>
      <c r="AB57" s="10">
        <f t="shared" si="15"/>
        <v>0.23499999999999999</v>
      </c>
      <c r="AC57" s="10">
        <f t="shared" si="16"/>
        <v>0</v>
      </c>
      <c r="AE57" s="9">
        <f t="shared" si="7"/>
        <v>0</v>
      </c>
      <c r="AF57" s="10">
        <f t="shared" si="17"/>
        <v>0.36499999999999999</v>
      </c>
      <c r="AG57" s="10">
        <f t="shared" si="18"/>
        <v>0</v>
      </c>
      <c r="AJ57" s="9">
        <f t="shared" si="21"/>
        <v>1</v>
      </c>
      <c r="AK57" s="10">
        <f t="shared" si="19"/>
        <v>0.86499999999999999</v>
      </c>
      <c r="AL57" s="10">
        <f t="shared" si="11"/>
        <v>1.1560693641618498</v>
      </c>
    </row>
    <row r="58" spans="2:38" s="9" customFormat="1" x14ac:dyDescent="0.25">
      <c r="B58" s="8">
        <v>46197</v>
      </c>
      <c r="C58" s="9" t="s">
        <v>5</v>
      </c>
      <c r="D58" s="9" t="s">
        <v>16</v>
      </c>
      <c r="E58" s="10">
        <v>0.84</v>
      </c>
      <c r="F58" s="10">
        <v>0.15</v>
      </c>
      <c r="G58" s="10">
        <v>0.08</v>
      </c>
      <c r="H58" s="10"/>
      <c r="I58" s="11"/>
      <c r="K58" s="12">
        <v>2</v>
      </c>
      <c r="L58" s="12">
        <v>1</v>
      </c>
      <c r="M58" s="9" t="str">
        <f t="shared" si="12"/>
        <v>Canada</v>
      </c>
      <c r="N58" s="9" t="str">
        <f t="shared" si="20"/>
        <v>fav win</v>
      </c>
      <c r="P58" s="9" t="str">
        <f t="shared" si="22"/>
        <v>Switzerland</v>
      </c>
      <c r="Q58" s="9" t="str">
        <f t="shared" si="23"/>
        <v>Canada</v>
      </c>
      <c r="S58" s="9">
        <f t="shared" si="24"/>
        <v>0</v>
      </c>
      <c r="T58" s="10">
        <f t="shared" si="25"/>
        <v>0.08</v>
      </c>
      <c r="U58" s="10">
        <f t="shared" si="4"/>
        <v>0</v>
      </c>
      <c r="W58" s="9">
        <f t="shared" si="13"/>
        <v>1</v>
      </c>
      <c r="X58" s="10">
        <f t="shared" si="26"/>
        <v>0.84</v>
      </c>
      <c r="Y58" s="10">
        <f t="shared" si="6"/>
        <v>1.1904761904761905</v>
      </c>
      <c r="AA58" s="9">
        <f t="shared" si="14"/>
        <v>0</v>
      </c>
      <c r="AB58" s="10">
        <f t="shared" si="15"/>
        <v>0.15</v>
      </c>
      <c r="AC58" s="10">
        <f t="shared" si="16"/>
        <v>0</v>
      </c>
      <c r="AE58" s="9">
        <f t="shared" si="7"/>
        <v>0</v>
      </c>
      <c r="AF58" s="10">
        <f t="shared" si="17"/>
        <v>0.16000000000000003</v>
      </c>
      <c r="AG58" s="10">
        <f t="shared" si="18"/>
        <v>0</v>
      </c>
      <c r="AJ58" s="9">
        <f t="shared" si="21"/>
        <v>1</v>
      </c>
      <c r="AK58" s="10">
        <f t="shared" si="19"/>
        <v>0.92</v>
      </c>
      <c r="AL58" s="10">
        <f t="shared" si="11"/>
        <v>1.0869565217391304</v>
      </c>
    </row>
    <row r="59" spans="2:38" s="9" customFormat="1" x14ac:dyDescent="0.25">
      <c r="B59" s="8">
        <v>46197</v>
      </c>
      <c r="C59" s="9" t="s">
        <v>15</v>
      </c>
      <c r="D59" s="9" t="s">
        <v>6</v>
      </c>
      <c r="E59" s="10">
        <v>0.01</v>
      </c>
      <c r="F59" s="10">
        <v>8.0000000000000002E-3</v>
      </c>
      <c r="G59" s="10">
        <v>0.99399999999999999</v>
      </c>
      <c r="H59" s="10"/>
      <c r="I59" s="11"/>
      <c r="K59" s="12">
        <v>1</v>
      </c>
      <c r="L59" s="12">
        <v>3</v>
      </c>
      <c r="M59" s="9" t="str">
        <f t="shared" si="12"/>
        <v>Bosnia-Herzegovina</v>
      </c>
      <c r="N59" s="9" t="str">
        <f t="shared" si="20"/>
        <v>fav win</v>
      </c>
      <c r="P59" s="9" t="str">
        <f t="shared" si="22"/>
        <v>Qatar</v>
      </c>
      <c r="Q59" s="9" t="str">
        <f t="shared" si="23"/>
        <v>Bosnia-Herzegovina</v>
      </c>
      <c r="S59" s="9">
        <f t="shared" si="24"/>
        <v>0</v>
      </c>
      <c r="T59" s="10">
        <f t="shared" si="25"/>
        <v>0.01</v>
      </c>
      <c r="U59" s="10">
        <f t="shared" si="4"/>
        <v>0</v>
      </c>
      <c r="W59" s="9">
        <f t="shared" si="13"/>
        <v>1</v>
      </c>
      <c r="X59" s="10">
        <f t="shared" si="26"/>
        <v>0.99399999999999999</v>
      </c>
      <c r="Y59" s="10">
        <f t="shared" si="6"/>
        <v>1.0060362173038229</v>
      </c>
      <c r="AA59" s="9">
        <f t="shared" si="14"/>
        <v>0</v>
      </c>
      <c r="AB59" s="10">
        <f t="shared" si="15"/>
        <v>8.0000000000000002E-3</v>
      </c>
      <c r="AC59" s="10">
        <f t="shared" si="16"/>
        <v>0</v>
      </c>
      <c r="AE59" s="9">
        <f t="shared" si="7"/>
        <v>0</v>
      </c>
      <c r="AF59" s="10">
        <f t="shared" si="17"/>
        <v>6.0000000000000053E-3</v>
      </c>
      <c r="AG59" s="10">
        <f t="shared" si="18"/>
        <v>0</v>
      </c>
      <c r="AJ59" s="9">
        <f t="shared" si="21"/>
        <v>1</v>
      </c>
      <c r="AK59" s="10">
        <f t="shared" si="19"/>
        <v>0.99</v>
      </c>
      <c r="AL59" s="10">
        <f t="shared" si="11"/>
        <v>1.0101010101010102</v>
      </c>
    </row>
    <row r="60" spans="2:38" s="9" customFormat="1" x14ac:dyDescent="0.25">
      <c r="B60" s="8">
        <v>46197</v>
      </c>
      <c r="C60" s="9" t="s">
        <v>17</v>
      </c>
      <c r="D60" s="9" t="s">
        <v>20</v>
      </c>
      <c r="E60" s="10">
        <v>0.75</v>
      </c>
      <c r="F60" s="10">
        <v>0.17</v>
      </c>
      <c r="G60" s="10">
        <v>0.09</v>
      </c>
      <c r="H60" s="10"/>
      <c r="I60" s="11">
        <v>1</v>
      </c>
      <c r="J60" s="9" t="s">
        <v>17</v>
      </c>
      <c r="K60" s="12">
        <v>3</v>
      </c>
      <c r="L60" s="12">
        <v>0</v>
      </c>
      <c r="M60" s="9" t="str">
        <f t="shared" si="12"/>
        <v>Brazil</v>
      </c>
      <c r="N60" s="9" t="str">
        <f t="shared" si="20"/>
        <v>fav win</v>
      </c>
      <c r="P60" s="9" t="str">
        <f t="shared" si="22"/>
        <v>Scotland</v>
      </c>
      <c r="Q60" s="9" t="str">
        <f t="shared" ref="Q60:Q81" si="27">+IF(P60=C60,D60,C60)</f>
        <v>Brazil</v>
      </c>
      <c r="S60" s="9">
        <f t="shared" si="24"/>
        <v>0</v>
      </c>
      <c r="T60" s="10">
        <f t="shared" ref="T60:T61" si="28">+IF(P60=C60,E60,G60)</f>
        <v>0.09</v>
      </c>
      <c r="U60" s="10">
        <f t="shared" ref="U60:U61" si="29">1/T60*S60</f>
        <v>0</v>
      </c>
      <c r="W60" s="9">
        <f t="shared" si="13"/>
        <v>1</v>
      </c>
      <c r="X60" s="10">
        <f t="shared" ref="X60:X61" si="30">+IF(P60=C60,G60,E60)</f>
        <v>0.75</v>
      </c>
      <c r="Y60" s="10">
        <f t="shared" ref="Y60:Y61" si="31">1/X60*W60</f>
        <v>1.3333333333333333</v>
      </c>
      <c r="AA60" s="9">
        <f t="shared" si="14"/>
        <v>0</v>
      </c>
      <c r="AB60" s="10">
        <f t="shared" ref="AB60:AB61" si="32">+F60</f>
        <v>0.17</v>
      </c>
      <c r="AC60" s="10">
        <f t="shared" si="16"/>
        <v>0</v>
      </c>
      <c r="AE60" s="9">
        <f>+IF(Q60=M60,0,1)</f>
        <v>0</v>
      </c>
      <c r="AF60" s="10">
        <f t="shared" ref="AF60:AF61" si="33">1-IF(C60=Q60,E60,G60)</f>
        <v>0.25</v>
      </c>
      <c r="AG60" s="10">
        <f t="shared" ref="AG60:AG61" si="34">1/AF60*AE60</f>
        <v>0</v>
      </c>
      <c r="AJ60" s="9">
        <f t="shared" si="21"/>
        <v>1</v>
      </c>
      <c r="AK60" s="10">
        <f t="shared" si="19"/>
        <v>0.91</v>
      </c>
      <c r="AL60" s="10">
        <f t="shared" si="11"/>
        <v>1.0989010989010988</v>
      </c>
    </row>
    <row r="61" spans="2:38" s="9" customFormat="1" x14ac:dyDescent="0.25">
      <c r="B61" s="8">
        <v>46197</v>
      </c>
      <c r="C61" s="9" t="s">
        <v>19</v>
      </c>
      <c r="D61" s="9" t="s">
        <v>18</v>
      </c>
      <c r="E61" s="10">
        <v>0.06</v>
      </c>
      <c r="F61" s="10">
        <v>0.13</v>
      </c>
      <c r="G61" s="10">
        <v>0.83</v>
      </c>
      <c r="H61" s="10"/>
      <c r="I61" s="11">
        <v>1</v>
      </c>
      <c r="J61" s="9" t="s">
        <v>18</v>
      </c>
      <c r="K61" s="12">
        <v>2</v>
      </c>
      <c r="L61" s="12">
        <v>4</v>
      </c>
      <c r="M61" s="9" t="str">
        <f t="shared" si="12"/>
        <v>Morocco</v>
      </c>
      <c r="N61" s="9" t="str">
        <f t="shared" si="20"/>
        <v>fav win</v>
      </c>
      <c r="P61" s="9" t="str">
        <f t="shared" si="22"/>
        <v>Haiti</v>
      </c>
      <c r="Q61" s="9" t="str">
        <f t="shared" si="27"/>
        <v>Morocco</v>
      </c>
      <c r="S61" s="9">
        <f t="shared" si="24"/>
        <v>0</v>
      </c>
      <c r="T61" s="10">
        <f t="shared" si="28"/>
        <v>0.06</v>
      </c>
      <c r="U61" s="10">
        <f t="shared" si="29"/>
        <v>0</v>
      </c>
      <c r="W61" s="9">
        <f t="shared" si="13"/>
        <v>1</v>
      </c>
      <c r="X61" s="10">
        <f t="shared" si="30"/>
        <v>0.83</v>
      </c>
      <c r="Y61" s="10">
        <f t="shared" si="31"/>
        <v>1.2048192771084338</v>
      </c>
      <c r="AA61" s="9">
        <f t="shared" si="14"/>
        <v>0</v>
      </c>
      <c r="AB61" s="10">
        <f t="shared" si="32"/>
        <v>0.13</v>
      </c>
      <c r="AC61" s="10">
        <f t="shared" si="16"/>
        <v>0</v>
      </c>
      <c r="AE61" s="9">
        <f>+IF(Q61=M61,0,1)</f>
        <v>0</v>
      </c>
      <c r="AF61" s="10">
        <f t="shared" si="33"/>
        <v>0.17000000000000004</v>
      </c>
      <c r="AG61" s="10">
        <f t="shared" si="34"/>
        <v>0</v>
      </c>
      <c r="AJ61" s="9">
        <f t="shared" si="21"/>
        <v>1</v>
      </c>
      <c r="AK61" s="10">
        <f t="shared" si="19"/>
        <v>0.94</v>
      </c>
      <c r="AL61" s="10">
        <f t="shared" si="11"/>
        <v>1.0638297872340425</v>
      </c>
    </row>
    <row r="62" spans="2:38" s="9" customFormat="1" x14ac:dyDescent="0.25">
      <c r="B62" s="8">
        <v>46197</v>
      </c>
      <c r="C62" s="9" t="s">
        <v>31</v>
      </c>
      <c r="D62" s="9" t="s">
        <v>32</v>
      </c>
      <c r="E62" s="10">
        <v>0.26</v>
      </c>
      <c r="F62" s="10">
        <v>0.25</v>
      </c>
      <c r="G62" s="10">
        <v>0.51</v>
      </c>
      <c r="H62" s="10"/>
      <c r="I62" s="11"/>
      <c r="K62" s="12">
        <v>0</v>
      </c>
      <c r="L62" s="12">
        <v>3</v>
      </c>
      <c r="M62" s="9" t="str">
        <f t="shared" si="12"/>
        <v>Mexico</v>
      </c>
      <c r="N62" s="9" t="str">
        <f t="shared" si="20"/>
        <v>fav win</v>
      </c>
      <c r="P62" s="9" t="str">
        <f t="shared" si="22"/>
        <v>Czechia</v>
      </c>
      <c r="Q62" s="9" t="str">
        <f t="shared" si="27"/>
        <v>Mexico</v>
      </c>
      <c r="S62" s="9">
        <f t="shared" ref="S62:S69" si="35">+IF(P62=M62,1,0)</f>
        <v>0</v>
      </c>
      <c r="T62" s="10">
        <f t="shared" ref="T62:T63" si="36">+IF(P62=C62,E62,G62)</f>
        <v>0.26</v>
      </c>
      <c r="U62" s="10">
        <f t="shared" ref="U62:U63" si="37">1/T62*S62</f>
        <v>0</v>
      </c>
      <c r="W62" s="9">
        <f t="shared" si="13"/>
        <v>1</v>
      </c>
      <c r="X62" s="10">
        <f t="shared" ref="X62:X63" si="38">+IF(P62=C62,G62,E62)</f>
        <v>0.51</v>
      </c>
      <c r="Y62" s="10">
        <f t="shared" ref="Y62:Y63" si="39">1/X62*W62</f>
        <v>1.9607843137254901</v>
      </c>
      <c r="AA62" s="9">
        <f t="shared" si="14"/>
        <v>0</v>
      </c>
      <c r="AB62" s="10">
        <f t="shared" ref="AB62:AB63" si="40">+F62</f>
        <v>0.25</v>
      </c>
      <c r="AC62" s="10">
        <f t="shared" si="16"/>
        <v>0</v>
      </c>
      <c r="AE62" s="9">
        <f t="shared" ref="AE62:AE69" si="41">+IF(Q62=M62,0,1)</f>
        <v>0</v>
      </c>
      <c r="AF62" s="10">
        <f t="shared" ref="AF62:AF63" si="42">1-IF(C62=Q62,E62,G62)</f>
        <v>0.49</v>
      </c>
      <c r="AG62" s="10">
        <f t="shared" ref="AG62:AG63" si="43">1/AF62*AE62</f>
        <v>0</v>
      </c>
      <c r="AJ62" s="9">
        <f t="shared" si="21"/>
        <v>1</v>
      </c>
      <c r="AK62" s="10">
        <f t="shared" si="19"/>
        <v>0.74</v>
      </c>
      <c r="AL62" s="10">
        <f t="shared" si="11"/>
        <v>1.3513513513513513</v>
      </c>
    </row>
    <row r="63" spans="2:38" s="9" customFormat="1" x14ac:dyDescent="0.25">
      <c r="B63" s="8">
        <v>46197</v>
      </c>
      <c r="C63" s="9" t="s">
        <v>33</v>
      </c>
      <c r="D63" s="9" t="s">
        <v>34</v>
      </c>
      <c r="E63" s="10">
        <v>0.16</v>
      </c>
      <c r="F63" s="10">
        <v>0.24</v>
      </c>
      <c r="G63" s="10">
        <v>0.62</v>
      </c>
      <c r="H63" s="10"/>
      <c r="I63" s="11"/>
      <c r="K63" s="12">
        <v>1</v>
      </c>
      <c r="L63" s="12">
        <v>0</v>
      </c>
      <c r="M63" s="9" t="str">
        <f t="shared" si="12"/>
        <v>South Africa</v>
      </c>
      <c r="N63" s="9" t="str">
        <f t="shared" si="20"/>
        <v>dog win</v>
      </c>
      <c r="P63" s="9" t="str">
        <f t="shared" si="22"/>
        <v>South Africa</v>
      </c>
      <c r="Q63" s="9" t="str">
        <f t="shared" si="27"/>
        <v>South Korea</v>
      </c>
      <c r="S63" s="9">
        <f t="shared" si="35"/>
        <v>1</v>
      </c>
      <c r="T63" s="10">
        <f t="shared" si="36"/>
        <v>0.16</v>
      </c>
      <c r="U63" s="10">
        <f t="shared" si="37"/>
        <v>6.25</v>
      </c>
      <c r="W63" s="9">
        <f t="shared" si="13"/>
        <v>0</v>
      </c>
      <c r="X63" s="10">
        <f t="shared" si="38"/>
        <v>0.62</v>
      </c>
      <c r="Y63" s="10">
        <f t="shared" si="39"/>
        <v>0</v>
      </c>
      <c r="AA63" s="9">
        <f t="shared" si="14"/>
        <v>0</v>
      </c>
      <c r="AB63" s="10">
        <f t="shared" si="40"/>
        <v>0.24</v>
      </c>
      <c r="AC63" s="10">
        <f t="shared" si="16"/>
        <v>0</v>
      </c>
      <c r="AE63" s="9">
        <f t="shared" si="41"/>
        <v>1</v>
      </c>
      <c r="AF63" s="10">
        <f t="shared" si="42"/>
        <v>0.38</v>
      </c>
      <c r="AG63" s="10">
        <f t="shared" si="43"/>
        <v>2.6315789473684212</v>
      </c>
      <c r="AJ63" s="9">
        <f t="shared" si="21"/>
        <v>0</v>
      </c>
      <c r="AK63" s="10">
        <f t="shared" si="19"/>
        <v>0.84</v>
      </c>
      <c r="AL63" s="10">
        <f t="shared" si="11"/>
        <v>0</v>
      </c>
    </row>
    <row r="64" spans="2:38" s="9" customFormat="1" x14ac:dyDescent="0.25">
      <c r="B64" s="8">
        <v>46198</v>
      </c>
      <c r="C64" s="9" t="s">
        <v>28</v>
      </c>
      <c r="D64" s="9" t="s">
        <v>23</v>
      </c>
      <c r="E64" s="10">
        <v>0.25</v>
      </c>
      <c r="F64" s="10">
        <v>0.23</v>
      </c>
      <c r="G64" s="10">
        <v>0.54</v>
      </c>
      <c r="H64" s="10"/>
      <c r="I64" s="11">
        <v>1</v>
      </c>
      <c r="J64" s="9" t="s">
        <v>23</v>
      </c>
      <c r="K64" s="12">
        <v>2</v>
      </c>
      <c r="L64" s="12">
        <v>1</v>
      </c>
      <c r="M64" s="9" t="str">
        <f t="shared" si="12"/>
        <v>Ecuador</v>
      </c>
      <c r="N64" s="9" t="str">
        <f t="shared" si="20"/>
        <v>dog win</v>
      </c>
      <c r="P64" s="9" t="str">
        <f t="shared" ref="P64:P81" si="44">+IF(G64&lt;E64,D64,C64)</f>
        <v>Ecuador</v>
      </c>
      <c r="Q64" s="9" t="str">
        <f t="shared" si="27"/>
        <v>Germany</v>
      </c>
      <c r="S64" s="9">
        <f t="shared" si="35"/>
        <v>1</v>
      </c>
      <c r="T64" s="10">
        <f t="shared" ref="T64:T69" si="45">+IF(P64=C64,E64,G64)</f>
        <v>0.25</v>
      </c>
      <c r="U64" s="10">
        <f t="shared" ref="U64:U69" si="46">1/T64*S64</f>
        <v>4</v>
      </c>
      <c r="W64" s="9">
        <f t="shared" si="13"/>
        <v>0</v>
      </c>
      <c r="X64" s="10">
        <f t="shared" ref="X64:X69" si="47">+IF(P64=C64,G64,E64)</f>
        <v>0.54</v>
      </c>
      <c r="Y64" s="10">
        <f t="shared" ref="Y64:Y69" si="48">1/X64*W64</f>
        <v>0</v>
      </c>
      <c r="AA64" s="9">
        <f t="shared" si="14"/>
        <v>0</v>
      </c>
      <c r="AB64" s="10">
        <f t="shared" ref="AB64:AB69" si="49">+F64</f>
        <v>0.23</v>
      </c>
      <c r="AC64" s="10">
        <f t="shared" si="16"/>
        <v>0</v>
      </c>
      <c r="AE64" s="9">
        <f t="shared" si="41"/>
        <v>1</v>
      </c>
      <c r="AF64" s="10">
        <f t="shared" ref="AF64:AF69" si="50">1-IF(C64=Q64,E64,G64)</f>
        <v>0.45999999999999996</v>
      </c>
      <c r="AG64" s="10">
        <f t="shared" ref="AG64:AG69" si="51">1/AF64*AE64</f>
        <v>2.1739130434782612</v>
      </c>
      <c r="AJ64" s="9">
        <f t="shared" ref="AJ64:AJ77" si="52">+IF(Q64=M64,1,0)</f>
        <v>0</v>
      </c>
      <c r="AK64" s="10">
        <f t="shared" ref="AK64:AK77" si="53">1-IF(C64=P64,E64,G64)</f>
        <v>0.75</v>
      </c>
      <c r="AL64" s="10">
        <f t="shared" ref="AL64:AL77" si="54">1/AK64*AJ64</f>
        <v>0</v>
      </c>
    </row>
    <row r="65" spans="2:38" s="9" customFormat="1" x14ac:dyDescent="0.25">
      <c r="B65" s="8">
        <v>46198</v>
      </c>
      <c r="C65" s="9" t="s">
        <v>35</v>
      </c>
      <c r="D65" s="9" t="s">
        <v>63</v>
      </c>
      <c r="E65" s="10">
        <v>0.06</v>
      </c>
      <c r="F65" s="10">
        <v>0.12</v>
      </c>
      <c r="G65" s="10">
        <v>0.84</v>
      </c>
      <c r="H65" s="10"/>
      <c r="I65" s="11">
        <v>1</v>
      </c>
      <c r="J65" s="9" t="s">
        <v>63</v>
      </c>
      <c r="K65" s="12">
        <v>0</v>
      </c>
      <c r="L65" s="12">
        <v>2</v>
      </c>
      <c r="M65" s="9" t="str">
        <f t="shared" si="12"/>
        <v>Ivory Coast</v>
      </c>
      <c r="N65" s="9" t="str">
        <f t="shared" si="20"/>
        <v>fav win</v>
      </c>
      <c r="P65" s="9" t="str">
        <f t="shared" si="44"/>
        <v>Curacao</v>
      </c>
      <c r="Q65" s="9" t="str">
        <f t="shared" si="27"/>
        <v>Ivory Coast</v>
      </c>
      <c r="S65" s="9">
        <f t="shared" si="35"/>
        <v>0</v>
      </c>
      <c r="T65" s="10">
        <f t="shared" si="45"/>
        <v>0.06</v>
      </c>
      <c r="U65" s="10">
        <f t="shared" si="46"/>
        <v>0</v>
      </c>
      <c r="W65" s="9">
        <f t="shared" si="13"/>
        <v>1</v>
      </c>
      <c r="X65" s="10">
        <f t="shared" si="47"/>
        <v>0.84</v>
      </c>
      <c r="Y65" s="10">
        <f t="shared" si="48"/>
        <v>1.1904761904761905</v>
      </c>
      <c r="AA65" s="9">
        <f t="shared" si="14"/>
        <v>0</v>
      </c>
      <c r="AB65" s="10">
        <f t="shared" si="49"/>
        <v>0.12</v>
      </c>
      <c r="AC65" s="10">
        <f t="shared" si="16"/>
        <v>0</v>
      </c>
      <c r="AE65" s="9">
        <f t="shared" si="41"/>
        <v>0</v>
      </c>
      <c r="AF65" s="10">
        <f t="shared" si="50"/>
        <v>0.16000000000000003</v>
      </c>
      <c r="AG65" s="10">
        <f t="shared" si="51"/>
        <v>0</v>
      </c>
      <c r="AJ65" s="9">
        <f t="shared" si="52"/>
        <v>1</v>
      </c>
      <c r="AK65" s="10">
        <f t="shared" si="53"/>
        <v>0.94</v>
      </c>
      <c r="AL65" s="10">
        <f t="shared" si="54"/>
        <v>1.0638297872340425</v>
      </c>
    </row>
    <row r="66" spans="2:38" s="9" customFormat="1" x14ac:dyDescent="0.25">
      <c r="B66" s="8">
        <v>46198</v>
      </c>
      <c r="C66" s="9" t="s">
        <v>26</v>
      </c>
      <c r="D66" s="9" t="s">
        <v>29</v>
      </c>
      <c r="E66" s="10">
        <v>0.53</v>
      </c>
      <c r="F66" s="10">
        <v>0.27</v>
      </c>
      <c r="G66" s="10">
        <v>0.22</v>
      </c>
      <c r="H66" s="10"/>
      <c r="I66" s="11"/>
      <c r="K66" s="12">
        <v>1</v>
      </c>
      <c r="L66" s="12">
        <v>1</v>
      </c>
      <c r="M66" s="9" t="str">
        <f t="shared" si="12"/>
        <v>draw</v>
      </c>
      <c r="N66" s="9" t="str">
        <f t="shared" si="20"/>
        <v>draw</v>
      </c>
      <c r="P66" s="9" t="str">
        <f t="shared" si="44"/>
        <v>Sweden</v>
      </c>
      <c r="Q66" s="9" t="str">
        <f t="shared" si="27"/>
        <v>Japan</v>
      </c>
      <c r="S66" s="9">
        <f t="shared" si="35"/>
        <v>0</v>
      </c>
      <c r="T66" s="10">
        <f t="shared" si="45"/>
        <v>0.22</v>
      </c>
      <c r="U66" s="10">
        <f t="shared" si="46"/>
        <v>0</v>
      </c>
      <c r="W66" s="9">
        <f t="shared" si="13"/>
        <v>0</v>
      </c>
      <c r="X66" s="10">
        <f t="shared" si="47"/>
        <v>0.53</v>
      </c>
      <c r="Y66" s="10">
        <f t="shared" si="48"/>
        <v>0</v>
      </c>
      <c r="AA66" s="9">
        <f t="shared" si="14"/>
        <v>1</v>
      </c>
      <c r="AB66" s="10">
        <f t="shared" si="49"/>
        <v>0.27</v>
      </c>
      <c r="AC66" s="10">
        <f t="shared" si="16"/>
        <v>2.7037037037037033</v>
      </c>
      <c r="AE66" s="9">
        <f t="shared" si="41"/>
        <v>1</v>
      </c>
      <c r="AF66" s="10">
        <f t="shared" si="50"/>
        <v>0.47</v>
      </c>
      <c r="AG66" s="10">
        <f t="shared" si="51"/>
        <v>2.1276595744680851</v>
      </c>
      <c r="AJ66" s="9">
        <f t="shared" si="52"/>
        <v>0</v>
      </c>
      <c r="AK66" s="10">
        <f t="shared" si="53"/>
        <v>0.78</v>
      </c>
      <c r="AL66" s="10">
        <f t="shared" si="54"/>
        <v>0</v>
      </c>
    </row>
    <row r="67" spans="2:38" s="9" customFormat="1" x14ac:dyDescent="0.25">
      <c r="B67" s="8">
        <v>46198</v>
      </c>
      <c r="C67" s="9" t="s">
        <v>30</v>
      </c>
      <c r="D67" s="9" t="s">
        <v>25</v>
      </c>
      <c r="E67" s="10">
        <v>3.5999999999999997E-2</v>
      </c>
      <c r="F67" s="10">
        <v>0.1</v>
      </c>
      <c r="G67" s="10">
        <v>0.88</v>
      </c>
      <c r="H67" s="10"/>
      <c r="I67" s="11">
        <v>1</v>
      </c>
      <c r="J67" s="9" t="s">
        <v>25</v>
      </c>
      <c r="K67" s="12">
        <v>1</v>
      </c>
      <c r="L67" s="12">
        <v>3</v>
      </c>
      <c r="M67" s="9" t="str">
        <f t="shared" si="12"/>
        <v>Netherlands</v>
      </c>
      <c r="N67" s="9" t="str">
        <f t="shared" si="20"/>
        <v>fav win</v>
      </c>
      <c r="P67" s="9" t="str">
        <f t="shared" si="44"/>
        <v>Tunisia</v>
      </c>
      <c r="Q67" s="9" t="str">
        <f t="shared" si="27"/>
        <v>Netherlands</v>
      </c>
      <c r="S67" s="9">
        <f t="shared" si="35"/>
        <v>0</v>
      </c>
      <c r="T67" s="10">
        <f t="shared" si="45"/>
        <v>3.5999999999999997E-2</v>
      </c>
      <c r="U67" s="10">
        <f t="shared" si="46"/>
        <v>0</v>
      </c>
      <c r="W67" s="9">
        <f t="shared" si="13"/>
        <v>1</v>
      </c>
      <c r="X67" s="10">
        <f t="shared" si="47"/>
        <v>0.88</v>
      </c>
      <c r="Y67" s="10">
        <f t="shared" si="48"/>
        <v>1.1363636363636365</v>
      </c>
      <c r="AA67" s="9">
        <f t="shared" si="14"/>
        <v>0</v>
      </c>
      <c r="AB67" s="10">
        <f t="shared" si="49"/>
        <v>0.1</v>
      </c>
      <c r="AC67" s="10">
        <f t="shared" si="16"/>
        <v>0</v>
      </c>
      <c r="AE67" s="9">
        <f t="shared" si="41"/>
        <v>0</v>
      </c>
      <c r="AF67" s="10">
        <f t="shared" si="50"/>
        <v>0.12</v>
      </c>
      <c r="AG67" s="10">
        <f t="shared" si="51"/>
        <v>0</v>
      </c>
      <c r="AJ67" s="9">
        <f t="shared" si="52"/>
        <v>1</v>
      </c>
      <c r="AK67" s="10">
        <f t="shared" si="53"/>
        <v>0.96399999999999997</v>
      </c>
      <c r="AL67" s="10">
        <f t="shared" si="54"/>
        <v>1.0373443983402491</v>
      </c>
    </row>
    <row r="68" spans="2:38" s="9" customFormat="1" x14ac:dyDescent="0.25">
      <c r="B68" s="8">
        <v>46198</v>
      </c>
      <c r="C68" s="9" t="s">
        <v>22</v>
      </c>
      <c r="D68" s="9" t="s">
        <v>7</v>
      </c>
      <c r="E68" s="10">
        <v>0.27</v>
      </c>
      <c r="F68" s="10">
        <v>0.23</v>
      </c>
      <c r="G68" s="10">
        <v>0.52</v>
      </c>
      <c r="H68" s="10"/>
      <c r="I68" s="11"/>
      <c r="K68" s="12">
        <v>3</v>
      </c>
      <c r="L68" s="12">
        <v>2</v>
      </c>
      <c r="M68" s="9" t="str">
        <f t="shared" si="12"/>
        <v>Turkey</v>
      </c>
      <c r="N68" s="9" t="str">
        <f t="shared" si="20"/>
        <v>dog win</v>
      </c>
      <c r="P68" s="9" t="str">
        <f t="shared" si="44"/>
        <v>Turkey</v>
      </c>
      <c r="Q68" s="9" t="str">
        <f t="shared" si="27"/>
        <v>USA</v>
      </c>
      <c r="S68" s="9">
        <f t="shared" si="35"/>
        <v>1</v>
      </c>
      <c r="T68" s="10">
        <f t="shared" si="45"/>
        <v>0.27</v>
      </c>
      <c r="U68" s="10">
        <f t="shared" si="46"/>
        <v>3.7037037037037033</v>
      </c>
      <c r="W68" s="9">
        <f t="shared" si="13"/>
        <v>0</v>
      </c>
      <c r="X68" s="10">
        <f t="shared" si="47"/>
        <v>0.52</v>
      </c>
      <c r="Y68" s="10">
        <f t="shared" si="48"/>
        <v>0</v>
      </c>
      <c r="AA68" s="9">
        <f t="shared" si="14"/>
        <v>0</v>
      </c>
      <c r="AB68" s="10">
        <f t="shared" si="49"/>
        <v>0.23</v>
      </c>
      <c r="AC68" s="10">
        <f t="shared" si="16"/>
        <v>0</v>
      </c>
      <c r="AE68" s="9">
        <f t="shared" si="41"/>
        <v>1</v>
      </c>
      <c r="AF68" s="10">
        <f t="shared" si="50"/>
        <v>0.48</v>
      </c>
      <c r="AG68" s="10">
        <f t="shared" si="51"/>
        <v>2.0833333333333335</v>
      </c>
      <c r="AJ68" s="9">
        <f t="shared" si="52"/>
        <v>0</v>
      </c>
      <c r="AK68" s="10">
        <f t="shared" si="53"/>
        <v>0.73</v>
      </c>
      <c r="AL68" s="10">
        <f t="shared" si="54"/>
        <v>0</v>
      </c>
    </row>
    <row r="69" spans="2:38" s="9" customFormat="1" x14ac:dyDescent="0.25">
      <c r="B69" s="8">
        <v>46198</v>
      </c>
      <c r="C69" s="9" t="s">
        <v>8</v>
      </c>
      <c r="D69" s="9" t="s">
        <v>21</v>
      </c>
      <c r="E69" s="10">
        <v>0.34</v>
      </c>
      <c r="F69" s="10">
        <v>0.43</v>
      </c>
      <c r="G69" s="10">
        <v>0.24</v>
      </c>
      <c r="H69" s="10"/>
      <c r="I69" s="11"/>
      <c r="K69" s="12">
        <v>0</v>
      </c>
      <c r="L69" s="12">
        <v>0</v>
      </c>
      <c r="M69" s="9" t="str">
        <f t="shared" si="12"/>
        <v>draw</v>
      </c>
      <c r="N69" s="9" t="str">
        <f t="shared" si="20"/>
        <v>draw</v>
      </c>
      <c r="P69" s="9" t="str">
        <f t="shared" si="44"/>
        <v>Australia</v>
      </c>
      <c r="Q69" s="9" t="str">
        <f t="shared" si="27"/>
        <v>Paraguay</v>
      </c>
      <c r="S69" s="9">
        <f t="shared" si="35"/>
        <v>0</v>
      </c>
      <c r="T69" s="10">
        <f t="shared" si="45"/>
        <v>0.24</v>
      </c>
      <c r="U69" s="10">
        <f t="shared" si="46"/>
        <v>0</v>
      </c>
      <c r="W69" s="9">
        <f t="shared" si="13"/>
        <v>0</v>
      </c>
      <c r="X69" s="10">
        <f t="shared" si="47"/>
        <v>0.34</v>
      </c>
      <c r="Y69" s="10">
        <f t="shared" si="48"/>
        <v>0</v>
      </c>
      <c r="AA69" s="9">
        <f t="shared" si="14"/>
        <v>1</v>
      </c>
      <c r="AB69" s="10">
        <f t="shared" si="49"/>
        <v>0.43</v>
      </c>
      <c r="AC69" s="10">
        <f t="shared" si="16"/>
        <v>1.3255813953488373</v>
      </c>
      <c r="AE69" s="9">
        <f t="shared" si="41"/>
        <v>1</v>
      </c>
      <c r="AF69" s="10">
        <f t="shared" si="50"/>
        <v>0.65999999999999992</v>
      </c>
      <c r="AG69" s="10">
        <f t="shared" si="51"/>
        <v>1.5151515151515154</v>
      </c>
      <c r="AJ69" s="9">
        <f t="shared" si="52"/>
        <v>0</v>
      </c>
      <c r="AK69" s="10">
        <f t="shared" si="53"/>
        <v>0.76</v>
      </c>
      <c r="AL69" s="10">
        <f t="shared" si="54"/>
        <v>0</v>
      </c>
    </row>
    <row r="70" spans="2:38" s="9" customFormat="1" x14ac:dyDescent="0.25">
      <c r="B70" s="8">
        <v>46199</v>
      </c>
      <c r="C70" s="9" t="s">
        <v>36</v>
      </c>
      <c r="D70" s="9" t="s">
        <v>37</v>
      </c>
      <c r="E70" s="10">
        <v>0.21</v>
      </c>
      <c r="F70" s="10">
        <v>0.21</v>
      </c>
      <c r="G70" s="10">
        <v>0.6</v>
      </c>
      <c r="H70" s="10"/>
      <c r="I70" s="11">
        <v>1</v>
      </c>
      <c r="J70" s="9" t="s">
        <v>37</v>
      </c>
      <c r="K70" s="12">
        <v>1</v>
      </c>
      <c r="L70" s="12">
        <v>4</v>
      </c>
      <c r="M70" s="9" t="str">
        <f t="shared" si="12"/>
        <v>France</v>
      </c>
      <c r="N70" s="9" t="str">
        <f t="shared" si="20"/>
        <v>fav win</v>
      </c>
      <c r="P70" s="9" t="str">
        <f t="shared" si="44"/>
        <v>Norway</v>
      </c>
      <c r="Q70" s="9" t="str">
        <f t="shared" si="27"/>
        <v>France</v>
      </c>
      <c r="S70" s="9">
        <f t="shared" ref="S70:S77" si="55">+IF(P70=M70,1,0)</f>
        <v>0</v>
      </c>
      <c r="T70" s="10">
        <f t="shared" ref="T70:T71" si="56">+IF(P70=C70,E70,G70)</f>
        <v>0.21</v>
      </c>
      <c r="U70" s="10">
        <f t="shared" ref="U70:U71" si="57">1/T70*S70</f>
        <v>0</v>
      </c>
      <c r="W70" s="9">
        <f t="shared" si="13"/>
        <v>1</v>
      </c>
      <c r="X70" s="10">
        <f t="shared" ref="X70:X71" si="58">+IF(P70=C70,G70,E70)</f>
        <v>0.6</v>
      </c>
      <c r="Y70" s="10">
        <f t="shared" ref="Y70:Y71" si="59">1/X70*W70</f>
        <v>1.6666666666666667</v>
      </c>
      <c r="AA70" s="9">
        <f t="shared" ref="AA70:AA77" si="60">+IF(M70="draw",1,0)</f>
        <v>0</v>
      </c>
      <c r="AB70" s="10">
        <f t="shared" ref="AB70:AB71" si="61">+F70</f>
        <v>0.21</v>
      </c>
      <c r="AC70" s="10">
        <f t="shared" si="16"/>
        <v>0</v>
      </c>
      <c r="AE70" s="9">
        <f t="shared" ref="AE70:AE77" si="62">+IF(Q70=M70,0,1)</f>
        <v>0</v>
      </c>
      <c r="AF70" s="10">
        <f t="shared" ref="AF70:AF71" si="63">1-IF(C70=Q70,E70,G70)</f>
        <v>0.4</v>
      </c>
      <c r="AG70" s="10">
        <f t="shared" ref="AG70:AG71" si="64">1/AF70*AE70</f>
        <v>0</v>
      </c>
      <c r="AJ70" s="9">
        <f t="shared" si="52"/>
        <v>1</v>
      </c>
      <c r="AK70" s="10">
        <f t="shared" si="53"/>
        <v>0.79</v>
      </c>
      <c r="AL70" s="10">
        <f t="shared" si="54"/>
        <v>1.2658227848101264</v>
      </c>
    </row>
    <row r="71" spans="2:38" s="9" customFormat="1" x14ac:dyDescent="0.25">
      <c r="B71" s="8">
        <v>46199</v>
      </c>
      <c r="C71" s="9" t="s">
        <v>38</v>
      </c>
      <c r="D71" s="9" t="s">
        <v>39</v>
      </c>
      <c r="E71" s="10">
        <v>0.8</v>
      </c>
      <c r="F71" s="10">
        <v>0.15</v>
      </c>
      <c r="G71" s="10">
        <v>7.0000000000000007E-2</v>
      </c>
      <c r="H71" s="10"/>
      <c r="I71" s="11">
        <v>1</v>
      </c>
      <c r="J71" s="9" t="s">
        <v>38</v>
      </c>
      <c r="K71" s="12">
        <v>5</v>
      </c>
      <c r="L71" s="12">
        <v>0</v>
      </c>
      <c r="M71" s="9" t="str">
        <f t="shared" ref="M71:M77" si="65">+IF(K71&gt;L71,C71,IF(L71=K71,"draw",D71))</f>
        <v>Senegal</v>
      </c>
      <c r="N71" s="9" t="str">
        <f t="shared" ref="N71:N77" si="66">IF(M71="draw","draw",IF(M71=P71,"dog win","fav win"))</f>
        <v>fav win</v>
      </c>
      <c r="P71" s="9" t="str">
        <f t="shared" si="44"/>
        <v>Iraq</v>
      </c>
      <c r="Q71" s="9" t="str">
        <f t="shared" si="27"/>
        <v>Senegal</v>
      </c>
      <c r="S71" s="9">
        <f t="shared" si="55"/>
        <v>0</v>
      </c>
      <c r="T71" s="10">
        <f t="shared" si="56"/>
        <v>7.0000000000000007E-2</v>
      </c>
      <c r="U71" s="10">
        <f t="shared" si="57"/>
        <v>0</v>
      </c>
      <c r="W71" s="9">
        <f t="shared" si="13"/>
        <v>1</v>
      </c>
      <c r="X71" s="10">
        <f t="shared" si="58"/>
        <v>0.8</v>
      </c>
      <c r="Y71" s="10">
        <f t="shared" si="59"/>
        <v>1.25</v>
      </c>
      <c r="AA71" s="9">
        <f t="shared" si="60"/>
        <v>0</v>
      </c>
      <c r="AB71" s="10">
        <f t="shared" si="61"/>
        <v>0.15</v>
      </c>
      <c r="AC71" s="10">
        <f t="shared" si="16"/>
        <v>0</v>
      </c>
      <c r="AE71" s="9">
        <f t="shared" si="62"/>
        <v>0</v>
      </c>
      <c r="AF71" s="10">
        <f t="shared" si="63"/>
        <v>0.19999999999999996</v>
      </c>
      <c r="AG71" s="10">
        <f t="shared" si="64"/>
        <v>0</v>
      </c>
      <c r="AJ71" s="9">
        <f t="shared" si="52"/>
        <v>1</v>
      </c>
      <c r="AK71" s="10">
        <f t="shared" si="53"/>
        <v>0.92999999999999994</v>
      </c>
      <c r="AL71" s="10">
        <f t="shared" si="54"/>
        <v>1.0752688172043012</v>
      </c>
    </row>
    <row r="72" spans="2:38" s="9" customFormat="1" x14ac:dyDescent="0.25">
      <c r="B72" s="8">
        <v>46199</v>
      </c>
      <c r="C72" s="9" t="s">
        <v>40</v>
      </c>
      <c r="D72" s="9" t="s">
        <v>41</v>
      </c>
      <c r="E72" s="10">
        <v>0.4</v>
      </c>
      <c r="F72" s="10">
        <v>0.28000000000000003</v>
      </c>
      <c r="G72" s="10">
        <v>0.34</v>
      </c>
      <c r="H72" s="10"/>
      <c r="I72" s="11"/>
      <c r="K72" s="12">
        <v>0</v>
      </c>
      <c r="L72" s="12">
        <v>0</v>
      </c>
      <c r="M72" s="9" t="str">
        <f t="shared" si="65"/>
        <v>draw</v>
      </c>
      <c r="N72" s="9" t="str">
        <f t="shared" si="66"/>
        <v>draw</v>
      </c>
      <c r="P72" s="9" t="str">
        <f t="shared" si="44"/>
        <v>Saudi Arabia</v>
      </c>
      <c r="Q72" s="9" t="str">
        <f t="shared" si="27"/>
        <v>Cabo Verde</v>
      </c>
      <c r="S72" s="9">
        <f t="shared" si="55"/>
        <v>0</v>
      </c>
      <c r="T72" s="10">
        <f t="shared" ref="T72:T77" si="67">+IF(P72=C72,E72,G72)</f>
        <v>0.34</v>
      </c>
      <c r="U72" s="10">
        <f t="shared" ref="U72:U77" si="68">1/T72*S72</f>
        <v>0</v>
      </c>
      <c r="W72" s="9">
        <f t="shared" si="13"/>
        <v>0</v>
      </c>
      <c r="X72" s="10">
        <f t="shared" ref="X72:X77" si="69">+IF(P72=C72,G72,E72)</f>
        <v>0.4</v>
      </c>
      <c r="Y72" s="10">
        <f t="shared" ref="Y72:Y77" si="70">1/X72*W72</f>
        <v>0</v>
      </c>
      <c r="AA72" s="9">
        <f t="shared" si="60"/>
        <v>1</v>
      </c>
      <c r="AB72" s="10">
        <f t="shared" ref="AB72:AB77" si="71">+F72</f>
        <v>0.28000000000000003</v>
      </c>
      <c r="AC72" s="10">
        <f t="shared" si="16"/>
        <v>2.5714285714285712</v>
      </c>
      <c r="AE72" s="9">
        <f t="shared" si="62"/>
        <v>1</v>
      </c>
      <c r="AF72" s="10">
        <f t="shared" ref="AF72:AF77" si="72">1-IF(C72=Q72,E72,G72)</f>
        <v>0.6</v>
      </c>
      <c r="AG72" s="10">
        <f t="shared" ref="AG72:AG77" si="73">1/AF72*AE72</f>
        <v>1.6666666666666667</v>
      </c>
      <c r="AJ72" s="9">
        <f t="shared" si="52"/>
        <v>0</v>
      </c>
      <c r="AK72" s="10">
        <f t="shared" si="53"/>
        <v>0.65999999999999992</v>
      </c>
      <c r="AL72" s="10">
        <f t="shared" si="54"/>
        <v>0</v>
      </c>
    </row>
    <row r="73" spans="2:38" s="9" customFormat="1" x14ac:dyDescent="0.25">
      <c r="B73" s="8">
        <v>46199</v>
      </c>
      <c r="C73" s="9" t="s">
        <v>42</v>
      </c>
      <c r="D73" s="9" t="s">
        <v>43</v>
      </c>
      <c r="E73" s="10">
        <v>0.13</v>
      </c>
      <c r="F73" s="10">
        <v>0.23</v>
      </c>
      <c r="G73" s="10">
        <v>0.65</v>
      </c>
      <c r="H73" s="10"/>
      <c r="I73" s="11">
        <v>1</v>
      </c>
      <c r="J73" s="9" t="s">
        <v>43</v>
      </c>
      <c r="K73" s="12">
        <v>0</v>
      </c>
      <c r="L73" s="12">
        <v>1</v>
      </c>
      <c r="M73" s="9" t="str">
        <f t="shared" si="65"/>
        <v>Spain</v>
      </c>
      <c r="N73" s="9" t="str">
        <f t="shared" si="66"/>
        <v>fav win</v>
      </c>
      <c r="P73" s="9" t="str">
        <f t="shared" si="44"/>
        <v>Uruguay</v>
      </c>
      <c r="Q73" s="9" t="str">
        <f t="shared" si="27"/>
        <v>Spain</v>
      </c>
      <c r="S73" s="9">
        <f t="shared" si="55"/>
        <v>0</v>
      </c>
      <c r="T73" s="10">
        <f t="shared" si="67"/>
        <v>0.13</v>
      </c>
      <c r="U73" s="10">
        <f t="shared" si="68"/>
        <v>0</v>
      </c>
      <c r="W73" s="9">
        <f t="shared" si="13"/>
        <v>1</v>
      </c>
      <c r="X73" s="10">
        <f t="shared" si="69"/>
        <v>0.65</v>
      </c>
      <c r="Y73" s="10">
        <f t="shared" si="70"/>
        <v>1.5384615384615383</v>
      </c>
      <c r="AA73" s="9">
        <f t="shared" si="60"/>
        <v>0</v>
      </c>
      <c r="AB73" s="10">
        <f t="shared" si="71"/>
        <v>0.23</v>
      </c>
      <c r="AC73" s="10">
        <f t="shared" si="16"/>
        <v>0</v>
      </c>
      <c r="AE73" s="9">
        <f t="shared" si="62"/>
        <v>0</v>
      </c>
      <c r="AF73" s="10">
        <f t="shared" si="72"/>
        <v>0.35</v>
      </c>
      <c r="AG73" s="10">
        <f t="shared" si="73"/>
        <v>0</v>
      </c>
      <c r="AJ73" s="9">
        <f t="shared" si="52"/>
        <v>1</v>
      </c>
      <c r="AK73" s="10">
        <f t="shared" si="53"/>
        <v>0.87</v>
      </c>
      <c r="AL73" s="10">
        <f t="shared" si="54"/>
        <v>1.1494252873563218</v>
      </c>
    </row>
    <row r="74" spans="2:38" s="9" customFormat="1" x14ac:dyDescent="0.25">
      <c r="B74" s="8">
        <v>46199</v>
      </c>
      <c r="C74" s="9" t="s">
        <v>44</v>
      </c>
      <c r="D74" s="9" t="s">
        <v>45</v>
      </c>
      <c r="E74" s="10">
        <v>0.4</v>
      </c>
      <c r="F74" s="10">
        <v>0.37</v>
      </c>
      <c r="G74" s="10">
        <v>0.25</v>
      </c>
      <c r="H74" s="10"/>
      <c r="I74" s="11"/>
      <c r="K74" s="12">
        <v>1</v>
      </c>
      <c r="L74" s="12">
        <v>1</v>
      </c>
      <c r="M74" s="9" t="str">
        <f t="shared" si="65"/>
        <v>draw</v>
      </c>
      <c r="N74" s="9" t="str">
        <f t="shared" si="66"/>
        <v>draw</v>
      </c>
      <c r="P74" s="9" t="str">
        <f t="shared" si="44"/>
        <v>Iran</v>
      </c>
      <c r="Q74" s="9" t="str">
        <f t="shared" si="27"/>
        <v>Egypt</v>
      </c>
      <c r="S74" s="9">
        <f t="shared" si="55"/>
        <v>0</v>
      </c>
      <c r="T74" s="10">
        <f t="shared" si="67"/>
        <v>0.25</v>
      </c>
      <c r="U74" s="10">
        <f t="shared" si="68"/>
        <v>0</v>
      </c>
      <c r="W74" s="9">
        <f t="shared" si="13"/>
        <v>0</v>
      </c>
      <c r="X74" s="10">
        <f t="shared" si="69"/>
        <v>0.4</v>
      </c>
      <c r="Y74" s="10">
        <f t="shared" si="70"/>
        <v>0</v>
      </c>
      <c r="AA74" s="9">
        <f t="shared" si="60"/>
        <v>1</v>
      </c>
      <c r="AB74" s="10">
        <f t="shared" si="71"/>
        <v>0.37</v>
      </c>
      <c r="AC74" s="10">
        <f t="shared" si="16"/>
        <v>1.7027027027027026</v>
      </c>
      <c r="AE74" s="9">
        <f t="shared" si="62"/>
        <v>1</v>
      </c>
      <c r="AF74" s="10">
        <f t="shared" si="72"/>
        <v>0.6</v>
      </c>
      <c r="AG74" s="10">
        <f t="shared" si="73"/>
        <v>1.6666666666666667</v>
      </c>
      <c r="AJ74" s="9">
        <f t="shared" si="52"/>
        <v>0</v>
      </c>
      <c r="AK74" s="10">
        <f t="shared" si="53"/>
        <v>0.75</v>
      </c>
      <c r="AL74" s="10">
        <f t="shared" si="54"/>
        <v>0</v>
      </c>
    </row>
    <row r="75" spans="2:38" s="9" customFormat="1" x14ac:dyDescent="0.25">
      <c r="B75" s="8">
        <v>46199</v>
      </c>
      <c r="C75" s="9" t="s">
        <v>46</v>
      </c>
      <c r="D75" s="9" t="s">
        <v>47</v>
      </c>
      <c r="E75" s="10">
        <v>0.06</v>
      </c>
      <c r="F75" s="10">
        <v>0.12</v>
      </c>
      <c r="G75" s="10">
        <v>0.83</v>
      </c>
      <c r="H75" s="10"/>
      <c r="I75" s="11">
        <v>1</v>
      </c>
      <c r="J75" s="9" t="s">
        <v>47</v>
      </c>
      <c r="K75" s="12">
        <v>1</v>
      </c>
      <c r="L75" s="12">
        <v>5</v>
      </c>
      <c r="M75" s="9" t="str">
        <f t="shared" si="65"/>
        <v>Belgium</v>
      </c>
      <c r="N75" s="9" t="str">
        <f t="shared" si="66"/>
        <v>fav win</v>
      </c>
      <c r="P75" s="9" t="str">
        <f t="shared" si="44"/>
        <v>New Zeland</v>
      </c>
      <c r="Q75" s="9" t="str">
        <f t="shared" si="27"/>
        <v>Belgium</v>
      </c>
      <c r="S75" s="9">
        <f t="shared" si="55"/>
        <v>0</v>
      </c>
      <c r="T75" s="10">
        <f t="shared" si="67"/>
        <v>0.06</v>
      </c>
      <c r="U75" s="10">
        <f t="shared" si="68"/>
        <v>0</v>
      </c>
      <c r="W75" s="9">
        <f t="shared" si="13"/>
        <v>1</v>
      </c>
      <c r="X75" s="10">
        <f t="shared" si="69"/>
        <v>0.83</v>
      </c>
      <c r="Y75" s="10">
        <f t="shared" si="70"/>
        <v>1.2048192771084338</v>
      </c>
      <c r="AA75" s="9">
        <f t="shared" si="60"/>
        <v>0</v>
      </c>
      <c r="AB75" s="10">
        <f t="shared" si="71"/>
        <v>0.12</v>
      </c>
      <c r="AC75" s="10">
        <f t="shared" ref="AC75:AC81" si="74">1/AB75*AA75-IF(AA75=1,1,0)</f>
        <v>0</v>
      </c>
      <c r="AE75" s="9">
        <f t="shared" si="62"/>
        <v>0</v>
      </c>
      <c r="AF75" s="10">
        <f t="shared" si="72"/>
        <v>0.17000000000000004</v>
      </c>
      <c r="AG75" s="10">
        <f t="shared" si="73"/>
        <v>0</v>
      </c>
      <c r="AJ75" s="9">
        <f t="shared" si="52"/>
        <v>1</v>
      </c>
      <c r="AK75" s="10">
        <f t="shared" si="53"/>
        <v>0.94</v>
      </c>
      <c r="AL75" s="10">
        <f t="shared" si="54"/>
        <v>1.0638297872340425</v>
      </c>
    </row>
    <row r="76" spans="2:38" s="9" customFormat="1" x14ac:dyDescent="0.25">
      <c r="B76" s="8">
        <v>46200</v>
      </c>
      <c r="C76" s="9" t="s">
        <v>48</v>
      </c>
      <c r="D76" s="9" t="s">
        <v>49</v>
      </c>
      <c r="E76" s="10">
        <v>0.55000000000000004</v>
      </c>
      <c r="F76" s="10">
        <v>0.3</v>
      </c>
      <c r="G76" s="10">
        <v>0.17</v>
      </c>
      <c r="H76" s="10"/>
      <c r="I76" s="11">
        <v>1</v>
      </c>
      <c r="J76" s="9" t="s">
        <v>48</v>
      </c>
      <c r="K76" s="12">
        <v>2</v>
      </c>
      <c r="L76" s="12">
        <v>1</v>
      </c>
      <c r="M76" s="9" t="str">
        <f t="shared" si="65"/>
        <v>Croatia</v>
      </c>
      <c r="N76" s="9" t="str">
        <f t="shared" si="66"/>
        <v>fav win</v>
      </c>
      <c r="P76" s="9" t="str">
        <f t="shared" si="44"/>
        <v>Ghana</v>
      </c>
      <c r="Q76" s="9" t="str">
        <f t="shared" si="27"/>
        <v>Croatia</v>
      </c>
      <c r="S76" s="9">
        <f t="shared" si="55"/>
        <v>0</v>
      </c>
      <c r="T76" s="10">
        <f t="shared" si="67"/>
        <v>0.17</v>
      </c>
      <c r="U76" s="10">
        <f t="shared" si="68"/>
        <v>0</v>
      </c>
      <c r="W76" s="9">
        <f t="shared" si="13"/>
        <v>1</v>
      </c>
      <c r="X76" s="10">
        <f t="shared" si="69"/>
        <v>0.55000000000000004</v>
      </c>
      <c r="Y76" s="10">
        <f t="shared" si="70"/>
        <v>1.8181818181818181</v>
      </c>
      <c r="AA76" s="9">
        <f t="shared" si="60"/>
        <v>0</v>
      </c>
      <c r="AB76" s="10">
        <f t="shared" si="71"/>
        <v>0.3</v>
      </c>
      <c r="AC76" s="10">
        <f t="shared" si="74"/>
        <v>0</v>
      </c>
      <c r="AE76" s="9">
        <f t="shared" si="62"/>
        <v>0</v>
      </c>
      <c r="AF76" s="10">
        <f t="shared" si="72"/>
        <v>0.44999999999999996</v>
      </c>
      <c r="AG76" s="10">
        <f t="shared" si="73"/>
        <v>0</v>
      </c>
      <c r="AJ76" s="9">
        <f t="shared" si="52"/>
        <v>1</v>
      </c>
      <c r="AK76" s="10">
        <f t="shared" si="53"/>
        <v>0.83</v>
      </c>
      <c r="AL76" s="10">
        <f t="shared" si="54"/>
        <v>1.2048192771084338</v>
      </c>
    </row>
    <row r="77" spans="2:38" s="9" customFormat="1" x14ac:dyDescent="0.25">
      <c r="B77" s="8">
        <v>46200</v>
      </c>
      <c r="C77" s="9" t="s">
        <v>50</v>
      </c>
      <c r="D77" s="9" t="s">
        <v>51</v>
      </c>
      <c r="E77" s="10">
        <v>0.06</v>
      </c>
      <c r="F77" s="10">
        <v>0.12</v>
      </c>
      <c r="G77" s="10">
        <v>0.84</v>
      </c>
      <c r="H77" s="10"/>
      <c r="I77" s="11">
        <v>1</v>
      </c>
      <c r="J77" s="9" t="s">
        <v>51</v>
      </c>
      <c r="K77" s="12">
        <v>0</v>
      </c>
      <c r="L77" s="12">
        <v>2</v>
      </c>
      <c r="M77" s="9" t="str">
        <f t="shared" si="65"/>
        <v>England</v>
      </c>
      <c r="N77" s="9" t="str">
        <f t="shared" si="66"/>
        <v>fav win</v>
      </c>
      <c r="P77" s="9" t="str">
        <f t="shared" si="44"/>
        <v>Panama</v>
      </c>
      <c r="Q77" s="9" t="str">
        <f t="shared" si="27"/>
        <v>England</v>
      </c>
      <c r="S77" s="9">
        <f t="shared" si="55"/>
        <v>0</v>
      </c>
      <c r="T77" s="10">
        <f t="shared" si="67"/>
        <v>0.06</v>
      </c>
      <c r="U77" s="10">
        <f t="shared" si="68"/>
        <v>0</v>
      </c>
      <c r="W77" s="9">
        <f t="shared" si="13"/>
        <v>1</v>
      </c>
      <c r="X77" s="10">
        <f t="shared" si="69"/>
        <v>0.84</v>
      </c>
      <c r="Y77" s="10">
        <f t="shared" si="70"/>
        <v>1.1904761904761905</v>
      </c>
      <c r="AA77" s="9">
        <f t="shared" si="60"/>
        <v>0</v>
      </c>
      <c r="AB77" s="10">
        <f t="shared" si="71"/>
        <v>0.12</v>
      </c>
      <c r="AC77" s="10">
        <f t="shared" si="74"/>
        <v>0</v>
      </c>
      <c r="AE77" s="9">
        <f t="shared" si="62"/>
        <v>0</v>
      </c>
      <c r="AF77" s="10">
        <f t="shared" si="72"/>
        <v>0.16000000000000003</v>
      </c>
      <c r="AG77" s="10">
        <f t="shared" si="73"/>
        <v>0</v>
      </c>
      <c r="AJ77" s="9">
        <f t="shared" si="52"/>
        <v>1</v>
      </c>
      <c r="AK77" s="10">
        <f t="shared" si="53"/>
        <v>0.94</v>
      </c>
      <c r="AL77" s="10">
        <f t="shared" si="54"/>
        <v>1.0638297872340425</v>
      </c>
    </row>
    <row r="78" spans="2:38" s="9" customFormat="1" x14ac:dyDescent="0.25">
      <c r="B78" s="8">
        <v>46200</v>
      </c>
      <c r="C78" s="9" t="s">
        <v>52</v>
      </c>
      <c r="D78" s="9" t="s">
        <v>53</v>
      </c>
      <c r="E78" s="10">
        <v>0.24</v>
      </c>
      <c r="F78" s="10">
        <v>0.25</v>
      </c>
      <c r="G78" s="10">
        <v>0.52</v>
      </c>
      <c r="H78" s="10"/>
      <c r="I78" s="11"/>
      <c r="K78" s="12">
        <v>0</v>
      </c>
      <c r="L78" s="12">
        <v>0</v>
      </c>
      <c r="M78" s="9" t="str">
        <f t="shared" ref="M78:M81" si="75">+IF(K78&gt;L78,C78,IF(L78=K78,"draw",D78))</f>
        <v>draw</v>
      </c>
      <c r="N78" s="9" t="str">
        <f t="shared" ref="N78:N81" si="76">IF(M78="draw","draw",IF(M78=P78,"dog win","fav win"))</f>
        <v>draw</v>
      </c>
      <c r="P78" s="9" t="str">
        <f t="shared" si="44"/>
        <v>Colombia</v>
      </c>
      <c r="Q78" s="9" t="str">
        <f t="shared" si="27"/>
        <v>Portugal</v>
      </c>
      <c r="S78" s="9">
        <f t="shared" ref="S78:S81" si="77">+IF(P78=M78,1,0)</f>
        <v>0</v>
      </c>
      <c r="T78" s="10">
        <f t="shared" ref="T78:T81" si="78">+IF(P78=C78,E78,G78)</f>
        <v>0.24</v>
      </c>
      <c r="U78" s="10">
        <f t="shared" ref="U78:U81" si="79">1/T78*S78</f>
        <v>0</v>
      </c>
      <c r="W78" s="9">
        <f t="shared" ref="W78:W81" si="80">+IF(P78=M78,0,IF(M78="draw",0,1))</f>
        <v>0</v>
      </c>
      <c r="X78" s="10">
        <f t="shared" ref="X78:X81" si="81">+IF(P78=C78,G78,E78)</f>
        <v>0.52</v>
      </c>
      <c r="Y78" s="10">
        <f t="shared" ref="Y78:Y81" si="82">1/X78*W78</f>
        <v>0</v>
      </c>
      <c r="AA78" s="9">
        <f t="shared" ref="AA78:AA81" si="83">+IF(M78="draw",1,0)</f>
        <v>1</v>
      </c>
      <c r="AB78" s="10">
        <f t="shared" ref="AB78:AB81" si="84">+F78</f>
        <v>0.25</v>
      </c>
      <c r="AC78" s="10">
        <f t="shared" si="74"/>
        <v>3</v>
      </c>
      <c r="AE78" s="9">
        <f t="shared" ref="AE78:AE81" si="85">+IF(Q78=M78,0,1)</f>
        <v>1</v>
      </c>
      <c r="AF78" s="10">
        <f t="shared" ref="AF78:AF81" si="86">1-IF(C78=Q78,E78,G78)</f>
        <v>0.48</v>
      </c>
      <c r="AG78" s="10">
        <f t="shared" ref="AG78:AG81" si="87">1/AF78*AE78</f>
        <v>2.0833333333333335</v>
      </c>
      <c r="AJ78" s="9">
        <f t="shared" ref="AJ78:AJ81" si="88">+IF(Q78=M78,1,0)</f>
        <v>0</v>
      </c>
      <c r="AK78" s="10">
        <f t="shared" ref="AK78:AK81" si="89">1-IF(C78=P78,E78,G78)</f>
        <v>0.76</v>
      </c>
      <c r="AL78" s="10">
        <f t="shared" ref="AL78:AL81" si="90">1/AK78*AJ78</f>
        <v>0</v>
      </c>
    </row>
    <row r="79" spans="2:38" s="9" customFormat="1" x14ac:dyDescent="0.25">
      <c r="B79" s="8">
        <v>46200</v>
      </c>
      <c r="C79" s="9" t="s">
        <v>62</v>
      </c>
      <c r="D79" s="9" t="s">
        <v>54</v>
      </c>
      <c r="E79" s="10">
        <v>0.55000000000000004</v>
      </c>
      <c r="F79" s="10">
        <v>0.24</v>
      </c>
      <c r="G79" s="10">
        <v>0.23</v>
      </c>
      <c r="H79" s="10"/>
      <c r="I79" s="11"/>
      <c r="K79" s="12">
        <v>3</v>
      </c>
      <c r="L79" s="12">
        <v>1</v>
      </c>
      <c r="M79" s="9" t="str">
        <f t="shared" si="75"/>
        <v>DRC</v>
      </c>
      <c r="N79" s="9" t="str">
        <f t="shared" si="76"/>
        <v>fav win</v>
      </c>
      <c r="P79" s="9" t="str">
        <f t="shared" si="44"/>
        <v>Uzbekistan</v>
      </c>
      <c r="Q79" s="9" t="str">
        <f t="shared" si="27"/>
        <v>DRC</v>
      </c>
      <c r="S79" s="9">
        <f t="shared" si="77"/>
        <v>0</v>
      </c>
      <c r="T79" s="10">
        <f t="shared" si="78"/>
        <v>0.23</v>
      </c>
      <c r="U79" s="10">
        <f t="shared" si="79"/>
        <v>0</v>
      </c>
      <c r="W79" s="9">
        <f t="shared" si="80"/>
        <v>1</v>
      </c>
      <c r="X79" s="10">
        <f t="shared" si="81"/>
        <v>0.55000000000000004</v>
      </c>
      <c r="Y79" s="10">
        <f t="shared" si="82"/>
        <v>1.8181818181818181</v>
      </c>
      <c r="AA79" s="9">
        <f t="shared" si="83"/>
        <v>0</v>
      </c>
      <c r="AB79" s="10">
        <f t="shared" si="84"/>
        <v>0.24</v>
      </c>
      <c r="AC79" s="10">
        <f t="shared" si="74"/>
        <v>0</v>
      </c>
      <c r="AE79" s="9">
        <f t="shared" si="85"/>
        <v>0</v>
      </c>
      <c r="AF79" s="10">
        <f t="shared" si="86"/>
        <v>0.44999999999999996</v>
      </c>
      <c r="AG79" s="10">
        <f t="shared" si="87"/>
        <v>0</v>
      </c>
      <c r="AJ79" s="9">
        <f t="shared" si="88"/>
        <v>1</v>
      </c>
      <c r="AK79" s="10">
        <f t="shared" si="89"/>
        <v>0.77</v>
      </c>
      <c r="AL79" s="10">
        <f t="shared" si="90"/>
        <v>1.2987012987012987</v>
      </c>
    </row>
    <row r="80" spans="2:38" s="9" customFormat="1" x14ac:dyDescent="0.25">
      <c r="B80" s="8">
        <v>46200</v>
      </c>
      <c r="C80" s="9" t="s">
        <v>55</v>
      </c>
      <c r="D80" s="9" t="s">
        <v>56</v>
      </c>
      <c r="E80" s="10">
        <v>0.25</v>
      </c>
      <c r="F80" s="10">
        <v>0.44</v>
      </c>
      <c r="G80" s="10">
        <v>0.34</v>
      </c>
      <c r="H80" s="10"/>
      <c r="I80" s="11"/>
      <c r="K80" s="12">
        <v>3</v>
      </c>
      <c r="L80" s="12">
        <v>3</v>
      </c>
      <c r="M80" s="9" t="str">
        <f t="shared" si="75"/>
        <v>draw</v>
      </c>
      <c r="N80" s="9" t="str">
        <f t="shared" si="76"/>
        <v>draw</v>
      </c>
      <c r="P80" s="9" t="str">
        <f t="shared" si="44"/>
        <v>Algeria</v>
      </c>
      <c r="Q80" s="9" t="str">
        <f t="shared" si="27"/>
        <v>Austria</v>
      </c>
      <c r="S80" s="9">
        <f t="shared" si="77"/>
        <v>0</v>
      </c>
      <c r="T80" s="10">
        <f t="shared" si="78"/>
        <v>0.25</v>
      </c>
      <c r="U80" s="10">
        <f t="shared" si="79"/>
        <v>0</v>
      </c>
      <c r="W80" s="9">
        <f t="shared" si="80"/>
        <v>0</v>
      </c>
      <c r="X80" s="10">
        <f t="shared" si="81"/>
        <v>0.34</v>
      </c>
      <c r="Y80" s="10">
        <f t="shared" si="82"/>
        <v>0</v>
      </c>
      <c r="AA80" s="9">
        <f t="shared" si="83"/>
        <v>1</v>
      </c>
      <c r="AB80" s="10">
        <f t="shared" si="84"/>
        <v>0.44</v>
      </c>
      <c r="AC80" s="10">
        <f t="shared" si="74"/>
        <v>1.2727272727272729</v>
      </c>
      <c r="AE80" s="9">
        <f t="shared" si="85"/>
        <v>1</v>
      </c>
      <c r="AF80" s="10">
        <f t="shared" si="86"/>
        <v>0.65999999999999992</v>
      </c>
      <c r="AG80" s="10">
        <f t="shared" si="87"/>
        <v>1.5151515151515154</v>
      </c>
      <c r="AJ80" s="9">
        <f t="shared" si="88"/>
        <v>0</v>
      </c>
      <c r="AK80" s="10">
        <f t="shared" si="89"/>
        <v>0.75</v>
      </c>
      <c r="AL80" s="10">
        <f t="shared" si="90"/>
        <v>0</v>
      </c>
    </row>
    <row r="81" spans="2:39" s="9" customFormat="1" x14ac:dyDescent="0.25">
      <c r="B81" s="8">
        <v>46200</v>
      </c>
      <c r="C81" s="9" t="s">
        <v>57</v>
      </c>
      <c r="D81" s="9" t="s">
        <v>58</v>
      </c>
      <c r="E81" s="10">
        <v>5.6000000000000001E-2</v>
      </c>
      <c r="F81" s="10">
        <v>0.12</v>
      </c>
      <c r="G81" s="10">
        <v>0.83</v>
      </c>
      <c r="H81" s="10"/>
      <c r="I81" s="11"/>
      <c r="K81" s="12">
        <v>1</v>
      </c>
      <c r="L81" s="12">
        <v>3</v>
      </c>
      <c r="M81" s="9" t="str">
        <f t="shared" si="75"/>
        <v>Argentina</v>
      </c>
      <c r="N81" s="9" t="str">
        <f t="shared" si="76"/>
        <v>fav win</v>
      </c>
      <c r="P81" s="9" t="str">
        <f t="shared" si="44"/>
        <v>Jordan</v>
      </c>
      <c r="Q81" s="9" t="str">
        <f t="shared" si="27"/>
        <v>Argentina</v>
      </c>
      <c r="S81" s="9">
        <f t="shared" si="77"/>
        <v>0</v>
      </c>
      <c r="T81" s="10">
        <f t="shared" si="78"/>
        <v>5.6000000000000001E-2</v>
      </c>
      <c r="U81" s="10">
        <f t="shared" si="79"/>
        <v>0</v>
      </c>
      <c r="W81" s="9">
        <f t="shared" si="80"/>
        <v>1</v>
      </c>
      <c r="X81" s="10">
        <f t="shared" si="81"/>
        <v>0.83</v>
      </c>
      <c r="Y81" s="10">
        <f t="shared" si="82"/>
        <v>1.2048192771084338</v>
      </c>
      <c r="AA81" s="9">
        <f t="shared" si="83"/>
        <v>0</v>
      </c>
      <c r="AB81" s="10">
        <f t="shared" si="84"/>
        <v>0.12</v>
      </c>
      <c r="AC81" s="10">
        <f t="shared" si="74"/>
        <v>0</v>
      </c>
      <c r="AE81" s="9">
        <f t="shared" si="85"/>
        <v>0</v>
      </c>
      <c r="AF81" s="10">
        <f t="shared" si="86"/>
        <v>0.17000000000000004</v>
      </c>
      <c r="AG81" s="10">
        <f t="shared" si="87"/>
        <v>0</v>
      </c>
      <c r="AJ81" s="9">
        <f t="shared" si="88"/>
        <v>1</v>
      </c>
      <c r="AK81" s="10">
        <f t="shared" si="89"/>
        <v>0.94399999999999995</v>
      </c>
      <c r="AL81" s="10">
        <f t="shared" si="90"/>
        <v>1.0593220338983051</v>
      </c>
    </row>
    <row r="82" spans="2:39" s="9" customFormat="1" x14ac:dyDescent="0.25">
      <c r="B82" s="9" t="s">
        <v>70</v>
      </c>
      <c r="C82" s="9" t="s">
        <v>70</v>
      </c>
      <c r="D82" s="9" t="s">
        <v>70</v>
      </c>
      <c r="E82" s="9" t="s">
        <v>70</v>
      </c>
      <c r="F82" s="9" t="s">
        <v>70</v>
      </c>
      <c r="G82" s="9" t="s">
        <v>70</v>
      </c>
      <c r="H82" s="9" t="s">
        <v>70</v>
      </c>
      <c r="I82" s="9" t="s">
        <v>70</v>
      </c>
      <c r="J82" s="9" t="s">
        <v>70</v>
      </c>
      <c r="K82" s="9" t="s">
        <v>70</v>
      </c>
      <c r="L82" s="9" t="s">
        <v>70</v>
      </c>
      <c r="M82" s="9" t="s">
        <v>70</v>
      </c>
      <c r="N82" s="9" t="s">
        <v>70</v>
      </c>
      <c r="O82" s="9" t="s">
        <v>70</v>
      </c>
      <c r="P82" s="9" t="s">
        <v>70</v>
      </c>
      <c r="Q82" s="9" t="s">
        <v>70</v>
      </c>
      <c r="S82" s="9" t="s">
        <v>70</v>
      </c>
      <c r="T82" s="10" t="s">
        <v>70</v>
      </c>
      <c r="U82" s="9" t="s">
        <v>70</v>
      </c>
      <c r="V82" s="9" t="s">
        <v>70</v>
      </c>
      <c r="W82" s="9" t="s">
        <v>70</v>
      </c>
      <c r="X82" s="9" t="s">
        <v>70</v>
      </c>
      <c r="Y82" s="9" t="s">
        <v>70</v>
      </c>
      <c r="Z82" s="9" t="s">
        <v>70</v>
      </c>
      <c r="AA82" s="9" t="s">
        <v>70</v>
      </c>
      <c r="AB82" s="9" t="s">
        <v>70</v>
      </c>
      <c r="AC82" s="9" t="s">
        <v>70</v>
      </c>
      <c r="AD82" s="9" t="s">
        <v>70</v>
      </c>
      <c r="AE82" s="9" t="s">
        <v>70</v>
      </c>
      <c r="AF82" s="9" t="s">
        <v>70</v>
      </c>
      <c r="AG82" s="9" t="s">
        <v>70</v>
      </c>
      <c r="AH82" s="9" t="s">
        <v>70</v>
      </c>
      <c r="AI82" s="9" t="s">
        <v>70</v>
      </c>
      <c r="AJ82" s="9" t="s">
        <v>70</v>
      </c>
      <c r="AK82" s="9" t="s">
        <v>70</v>
      </c>
      <c r="AL82" s="9" t="s">
        <v>70</v>
      </c>
      <c r="AM82" s="9" t="s">
        <v>70</v>
      </c>
    </row>
  </sheetData>
  <autoFilter ref="B9:AM81" xr:uid="{C757414D-6AEB-40A0-ABC4-980189D5A524}"/>
  <conditionalFormatting sqref="A10:AZ1000">
    <cfRule type="expression" dxfId="6" priority="5">
      <formula>$M10="draw"</formula>
    </cfRule>
  </conditionalFormatting>
  <conditionalFormatting sqref="A78:J82 A10:XFD77 A82:XFD82 M78:XFD82 AC11:AC81">
    <cfRule type="containsText" dxfId="5" priority="6" stopIfTrue="1" operator="containsText" text="draw">
      <formula>NOT(ISERROR(SEARCH("draw",A10)))</formula>
    </cfRule>
  </conditionalFormatting>
  <conditionalFormatting sqref="L3">
    <cfRule type="expression" dxfId="4" priority="3">
      <formula>$M3="draw"</formula>
    </cfRule>
    <cfRule type="containsText" dxfId="3" priority="4" stopIfTrue="1" operator="containsText" text="draw">
      <formula>NOT(ISERROR(SEARCH("draw",L3)))</formula>
    </cfRule>
  </conditionalFormatting>
  <conditionalFormatting sqref="K78:L82">
    <cfRule type="containsText" dxfId="2" priority="1" stopIfTrue="1" operator="containsText" text="draw">
      <formula>NOT(ISERROR(SEARCH("draw",K78)))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13768-1EBC-4087-B20F-8894BD1BDEC0}">
  <dimension ref="B2:I30"/>
  <sheetViews>
    <sheetView showGridLines="0" zoomScale="130" zoomScaleNormal="130" workbookViewId="0">
      <selection activeCell="I17" sqref="I17"/>
    </sheetView>
  </sheetViews>
  <sheetFormatPr defaultRowHeight="13.2" x14ac:dyDescent="0.25"/>
  <cols>
    <col min="1" max="2" width="4.77734375" customWidth="1"/>
  </cols>
  <sheetData>
    <row r="2" spans="2:9" x14ac:dyDescent="0.25">
      <c r="B2" s="6">
        <v>1</v>
      </c>
      <c r="C2" s="6" t="s">
        <v>72</v>
      </c>
    </row>
    <row r="3" spans="2:9" s="4" customFormat="1" x14ac:dyDescent="0.25">
      <c r="C3" s="4" t="s">
        <v>67</v>
      </c>
      <c r="D3" s="7">
        <f>+main!T3</f>
        <v>30.392028463680049</v>
      </c>
      <c r="I3" t="s">
        <v>84</v>
      </c>
    </row>
    <row r="4" spans="2:9" s="4" customFormat="1" x14ac:dyDescent="0.25">
      <c r="C4" s="4" t="s">
        <v>69</v>
      </c>
      <c r="D4" s="7">
        <f>+main!T4</f>
        <v>72</v>
      </c>
      <c r="I4" t="s">
        <v>85</v>
      </c>
    </row>
    <row r="5" spans="2:9" s="5" customFormat="1" x14ac:dyDescent="0.25">
      <c r="C5" s="5" t="s">
        <v>79</v>
      </c>
      <c r="D5" s="5">
        <f>+main!T5</f>
        <v>-0.57788849355999927</v>
      </c>
    </row>
    <row r="6" spans="2:9" s="5" customFormat="1" x14ac:dyDescent="0.25">
      <c r="C6" s="5" t="s">
        <v>78</v>
      </c>
      <c r="D6" s="5">
        <f>+main!T6</f>
        <v>0.08</v>
      </c>
    </row>
    <row r="8" spans="2:9" x14ac:dyDescent="0.25">
      <c r="B8" s="6">
        <v>2</v>
      </c>
      <c r="C8" s="6" t="s">
        <v>86</v>
      </c>
    </row>
    <row r="9" spans="2:9" x14ac:dyDescent="0.25">
      <c r="C9" s="4" t="s">
        <v>67</v>
      </c>
      <c r="D9" s="7">
        <f>+main!X3</f>
        <v>68.868703958866746</v>
      </c>
      <c r="I9" t="s">
        <v>91</v>
      </c>
    </row>
    <row r="10" spans="2:9" x14ac:dyDescent="0.25">
      <c r="C10" s="4" t="s">
        <v>69</v>
      </c>
      <c r="D10" s="7">
        <f>+main!X4</f>
        <v>72</v>
      </c>
      <c r="I10" t="s">
        <v>92</v>
      </c>
    </row>
    <row r="11" spans="2:9" x14ac:dyDescent="0.25">
      <c r="C11" s="5" t="s">
        <v>79</v>
      </c>
      <c r="D11" s="5">
        <f>+main!X5</f>
        <v>-4.3490222793517441E-2</v>
      </c>
    </row>
    <row r="12" spans="2:9" x14ac:dyDescent="0.25">
      <c r="C12" s="5" t="s">
        <v>78</v>
      </c>
      <c r="D12" s="5">
        <f>+main!X6</f>
        <v>0.64</v>
      </c>
    </row>
    <row r="14" spans="2:9" x14ac:dyDescent="0.25">
      <c r="B14" s="6">
        <v>3</v>
      </c>
      <c r="C14" s="6" t="s">
        <v>74</v>
      </c>
    </row>
    <row r="15" spans="2:9" x14ac:dyDescent="0.25">
      <c r="C15" s="4" t="s">
        <v>67</v>
      </c>
      <c r="D15" s="7">
        <f>+main!AB3</f>
        <v>76.167876053222471</v>
      </c>
      <c r="I15" t="s">
        <v>106</v>
      </c>
    </row>
    <row r="16" spans="2:9" x14ac:dyDescent="0.25">
      <c r="C16" s="4" t="s">
        <v>69</v>
      </c>
      <c r="D16" s="7">
        <f>+main!AB4</f>
        <v>72</v>
      </c>
      <c r="I16" t="s">
        <v>107</v>
      </c>
    </row>
    <row r="17" spans="2:9" x14ac:dyDescent="0.25">
      <c r="C17" s="5" t="s">
        <v>79</v>
      </c>
      <c r="D17" s="5">
        <f>+main!AB5</f>
        <v>5.7887167405867634E-2</v>
      </c>
    </row>
    <row r="18" spans="2:9" x14ac:dyDescent="0.25">
      <c r="C18" s="5" t="s">
        <v>78</v>
      </c>
      <c r="D18" s="5">
        <f>+main!AB6</f>
        <v>0.28000000000000003</v>
      </c>
    </row>
    <row r="20" spans="2:9" x14ac:dyDescent="0.25">
      <c r="B20" s="6">
        <v>4</v>
      </c>
      <c r="C20" s="6" t="s">
        <v>77</v>
      </c>
    </row>
    <row r="21" spans="2:9" x14ac:dyDescent="0.25">
      <c r="C21" s="4" t="s">
        <v>67</v>
      </c>
      <c r="D21" s="7">
        <f>+main!AF3</f>
        <v>78.087355884278182</v>
      </c>
      <c r="I21" t="s">
        <v>87</v>
      </c>
    </row>
    <row r="22" spans="2:9" x14ac:dyDescent="0.25">
      <c r="C22" s="4" t="s">
        <v>69</v>
      </c>
      <c r="D22" s="7">
        <f>+main!AF4</f>
        <v>72</v>
      </c>
      <c r="I22" t="s">
        <v>88</v>
      </c>
    </row>
    <row r="23" spans="2:9" x14ac:dyDescent="0.25">
      <c r="C23" s="5" t="s">
        <v>79</v>
      </c>
      <c r="D23" s="5">
        <f>+main!AF5</f>
        <v>8.4546609503863612E-2</v>
      </c>
    </row>
    <row r="24" spans="2:9" x14ac:dyDescent="0.25">
      <c r="C24" s="5" t="s">
        <v>78</v>
      </c>
      <c r="D24" s="5">
        <f>+main!AF6</f>
        <v>0.36</v>
      </c>
    </row>
    <row r="26" spans="2:9" x14ac:dyDescent="0.25">
      <c r="B26" s="6">
        <v>5</v>
      </c>
      <c r="C26" s="6" t="s">
        <v>76</v>
      </c>
    </row>
    <row r="27" spans="2:9" x14ac:dyDescent="0.25">
      <c r="C27" s="4" t="s">
        <v>67</v>
      </c>
      <c r="D27" s="7">
        <f>+main!AK3</f>
        <v>51.778280984109195</v>
      </c>
      <c r="I27" t="s">
        <v>90</v>
      </c>
    </row>
    <row r="28" spans="2:9" x14ac:dyDescent="0.25">
      <c r="C28" s="4" t="s">
        <v>69</v>
      </c>
      <c r="D28" s="7">
        <f>+main!AK4</f>
        <v>72</v>
      </c>
    </row>
    <row r="29" spans="2:9" x14ac:dyDescent="0.25">
      <c r="C29" s="5" t="s">
        <v>79</v>
      </c>
      <c r="D29" s="5">
        <f>+main!AK5</f>
        <v>-0.28085720855403895</v>
      </c>
    </row>
    <row r="30" spans="2:9" x14ac:dyDescent="0.25">
      <c r="C30" s="5" t="s">
        <v>78</v>
      </c>
      <c r="D30" s="5">
        <f>+main!AK6</f>
        <v>0.64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643FF-A397-488B-AE12-D0997B0A7AB9}">
  <dimension ref="C5:C6"/>
  <sheetViews>
    <sheetView showGridLines="0" zoomScale="130" zoomScaleNormal="130" workbookViewId="0">
      <selection activeCell="C7" sqref="C7"/>
    </sheetView>
  </sheetViews>
  <sheetFormatPr defaultRowHeight="13.2" x14ac:dyDescent="0.25"/>
  <sheetData>
    <row r="5" spans="3:3" x14ac:dyDescent="0.25">
      <c r="C5" t="s">
        <v>82</v>
      </c>
    </row>
    <row r="6" spans="3:3" x14ac:dyDescent="0.25">
      <c r="C6" t="s">
        <v>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E34F0-A692-4E3D-A325-26D48E5648CF}">
  <dimension ref="B2:AL80"/>
  <sheetViews>
    <sheetView showGridLines="0" zoomScale="130" zoomScaleNormal="130" workbookViewId="0">
      <pane xSplit="4" ySplit="7" topLeftCell="H8" activePane="bottomRight" state="frozen"/>
      <selection pane="topRight" activeCell="E1" sqref="E1"/>
      <selection pane="bottomLeft" activeCell="A10" sqref="A10"/>
      <selection pane="bottomRight" activeCell="R8" sqref="R8"/>
    </sheetView>
  </sheetViews>
  <sheetFormatPr defaultRowHeight="13.2" x14ac:dyDescent="0.25"/>
  <cols>
    <col min="1" max="1" width="4.6640625" customWidth="1"/>
    <col min="2" max="2" width="9.109375" bestFit="1" customWidth="1"/>
    <col min="5" max="5" width="6.88671875" style="2" bestFit="1" customWidth="1"/>
    <col min="6" max="6" width="5.109375" style="2" bestFit="1" customWidth="1"/>
    <col min="7" max="7" width="6.88671875" style="2" bestFit="1" customWidth="1"/>
    <col min="11" max="11" width="7" style="4" bestFit="1" customWidth="1"/>
    <col min="12" max="12" width="6.5546875" style="4" bestFit="1" customWidth="1"/>
    <col min="20" max="20" width="8.88671875" style="2"/>
  </cols>
  <sheetData>
    <row r="2" spans="2:38" x14ac:dyDescent="0.25">
      <c r="Q2" t="s">
        <v>79</v>
      </c>
      <c r="R2" s="2">
        <f>+SUM(R7:R1048576)</f>
        <v>25.167876053222464</v>
      </c>
      <c r="S2" s="2">
        <f>+SUM(S7:S1048576)</f>
        <v>1.4670126269428474</v>
      </c>
      <c r="T2" s="2">
        <f>+SUM(T7:T1048576)</f>
        <v>-1.061688959496631</v>
      </c>
      <c r="W2" t="s">
        <v>101</v>
      </c>
    </row>
    <row r="3" spans="2:38" x14ac:dyDescent="0.25">
      <c r="Q3" t="s">
        <v>99</v>
      </c>
      <c r="R3">
        <f>COUNTIF(N8:N75,"&lt;&gt;No Bet")</f>
        <v>67</v>
      </c>
      <c r="S3">
        <f>COUNTIF(O8:O75,"&lt;&gt;No Bet")</f>
        <v>68</v>
      </c>
      <c r="T3">
        <f>COUNTIF(P8:P75,"&lt;&gt;No Bet")</f>
        <v>51</v>
      </c>
      <c r="W3" t="s">
        <v>102</v>
      </c>
    </row>
    <row r="4" spans="2:38" x14ac:dyDescent="0.25">
      <c r="D4" s="1"/>
      <c r="R4" s="5">
        <f>+R2/R3-1</f>
        <v>-0.62436005890712742</v>
      </c>
      <c r="S4" s="5">
        <f t="shared" ref="S4:T4" si="0">+S2/S3-1</f>
        <v>-0.97842628489789929</v>
      </c>
      <c r="T4" s="5">
        <f t="shared" si="0"/>
        <v>-1.0208174305783653</v>
      </c>
      <c r="W4" t="s">
        <v>103</v>
      </c>
      <c r="X4" s="5"/>
      <c r="AB4" s="5"/>
      <c r="AF4" s="5"/>
      <c r="AK4" s="5"/>
    </row>
    <row r="5" spans="2:38" x14ac:dyDescent="0.25">
      <c r="D5" s="2"/>
      <c r="U5" t="s">
        <v>100</v>
      </c>
      <c r="W5" t="s">
        <v>104</v>
      </c>
    </row>
    <row r="6" spans="2:38" x14ac:dyDescent="0.25">
      <c r="N6">
        <v>1</v>
      </c>
      <c r="O6">
        <v>2</v>
      </c>
      <c r="P6">
        <v>3</v>
      </c>
      <c r="W6" t="s">
        <v>105</v>
      </c>
    </row>
    <row r="7" spans="2:38" x14ac:dyDescent="0.25">
      <c r="C7" t="s">
        <v>3</v>
      </c>
      <c r="D7" t="s">
        <v>4</v>
      </c>
      <c r="E7" s="2" t="s">
        <v>9</v>
      </c>
      <c r="F7" s="2" t="s">
        <v>10</v>
      </c>
      <c r="G7" s="2" t="s">
        <v>11</v>
      </c>
      <c r="K7" s="4" t="s">
        <v>59</v>
      </c>
      <c r="L7" s="4" t="s">
        <v>60</v>
      </c>
      <c r="M7" s="2" t="s">
        <v>14</v>
      </c>
      <c r="N7" t="s">
        <v>93</v>
      </c>
      <c r="O7" t="s">
        <v>94</v>
      </c>
      <c r="P7" t="s">
        <v>95</v>
      </c>
      <c r="Q7" t="s">
        <v>70</v>
      </c>
      <c r="R7" t="s">
        <v>96</v>
      </c>
      <c r="S7" t="s">
        <v>97</v>
      </c>
      <c r="T7" s="2" t="s">
        <v>98</v>
      </c>
      <c r="X7" s="2"/>
    </row>
    <row r="8" spans="2:38" s="9" customFormat="1" x14ac:dyDescent="0.25">
      <c r="B8" s="8">
        <v>46184</v>
      </c>
      <c r="C8" s="9" t="s">
        <v>32</v>
      </c>
      <c r="D8" s="9" t="s">
        <v>33</v>
      </c>
      <c r="E8" s="10">
        <v>0.68500000000000005</v>
      </c>
      <c r="F8" s="10">
        <v>0.215</v>
      </c>
      <c r="G8" s="10">
        <v>0.105</v>
      </c>
      <c r="H8" s="10"/>
      <c r="I8" s="10"/>
      <c r="J8" s="10"/>
      <c r="K8" s="12">
        <v>2</v>
      </c>
      <c r="L8" s="12">
        <v>0</v>
      </c>
      <c r="M8" s="9" t="str">
        <f>IF(K8&gt;L8,"T1",IF(K8=L8,"Draw","T2"))</f>
        <v>T1</v>
      </c>
      <c r="N8" s="9" t="str">
        <f>IF(F8&gt;0.01,"Draw","No Bet")</f>
        <v>Draw</v>
      </c>
      <c r="O8" s="9" t="str">
        <f>+IF(E8=MAX(E8:G8),"T1",
IF(F8=MAX(E8:G8),"Draw","T2"))</f>
        <v>T1</v>
      </c>
      <c r="P8" s="9" t="str">
        <f>+IF(F8&gt;0.3,
"Draw",
IF(MAX(E8:G8)&gt;=0.6,
IF(E8=MAX(E8:G8),"T1",
IF(G8=MAX(E8:G8),"T2","Draw")),
"No Bet"))</f>
        <v>T1</v>
      </c>
      <c r="R8" s="10">
        <f>+IF(N8="No Bet",0,
IF(N8="T1",IF(M8="T1",1/E8-1,-1),
IF(N8="Draw",IF(M8="Draw",1/F8-1,-1),
IF(N8="T2",IF(M8="T2",1/G8-1,-1),0))))</f>
        <v>-1</v>
      </c>
      <c r="S8" s="10">
        <f>+IF(O8="No Bet",0,
IF(O8="T1",IF(M8="T1",1/E8-1,-1),
IF(O8="Draw",IF(M8="Draw",1/F8-1,-1),
IF(O8="T2",IF(M8="T2",1/G8-1,-1),0))))</f>
        <v>0.45985401459854014</v>
      </c>
      <c r="T8" s="10">
        <f>+IF(P8="No Bet",0,
IF(P8="T1",IF(M8="T1",1/E8-1,-1),
IF(P8="Draw",IF(M8="Draw",1/F8-1,-1),
IF(P8="T2",IF(M8="T2",1/G8-1,-1),0))))</f>
        <v>0.45985401459854014</v>
      </c>
      <c r="U8" s="10"/>
      <c r="X8" s="10"/>
      <c r="Y8" s="10"/>
      <c r="AB8" s="10"/>
      <c r="AC8" s="10"/>
      <c r="AF8" s="10"/>
      <c r="AG8" s="10"/>
      <c r="AK8" s="10"/>
      <c r="AL8" s="10"/>
    </row>
    <row r="9" spans="2:38" s="9" customFormat="1" x14ac:dyDescent="0.25">
      <c r="B9" s="8">
        <v>46184</v>
      </c>
      <c r="C9" s="9" t="s">
        <v>34</v>
      </c>
      <c r="D9" s="9" t="s">
        <v>31</v>
      </c>
      <c r="E9" s="10">
        <v>0.375</v>
      </c>
      <c r="F9" s="10">
        <v>0.315</v>
      </c>
      <c r="G9" s="10">
        <v>0.315</v>
      </c>
      <c r="H9" s="10"/>
      <c r="I9" s="10"/>
      <c r="J9" s="10"/>
      <c r="K9" s="12">
        <v>2</v>
      </c>
      <c r="L9" s="12">
        <v>1</v>
      </c>
      <c r="M9" s="9" t="str">
        <f t="shared" ref="M9:M72" si="1">IF(K9&gt;L9,"T1",IF(K9=L9,"Draw","T2"))</f>
        <v>T1</v>
      </c>
      <c r="N9" s="9" t="str">
        <f t="shared" ref="N9:N72" si="2">IF(F9&gt;0.01,"Draw","No Bet")</f>
        <v>Draw</v>
      </c>
      <c r="O9" s="9" t="str">
        <f t="shared" ref="O9:O72" si="3">+IF(E9=MAX(E9:G9),"T1",
IF(F9=MAX(E9:G9),"Draw","T2"))</f>
        <v>T1</v>
      </c>
      <c r="P9" s="9" t="str">
        <f t="shared" ref="P9:P72" si="4">+IF(F9&gt;0.3,
"Draw",
IF(MAX(E9:G9)&gt;=0.6,
IF(E9=MAX(E9:G9),"T1",
IF(G9=MAX(E9:G9),"T2","Draw")),
"No Bet"))</f>
        <v>Draw</v>
      </c>
      <c r="R9" s="10">
        <f t="shared" ref="R9:R72" si="5">+IF(N9="No Bet",0,
IF(N9="T1",IF(M9="T1",1/E9-1,-1),
IF(N9="Draw",IF(M9="Draw",1/F9-1,-1),
IF(N9="T2",IF(M9="T2",1/G9-1,-1),0))))</f>
        <v>-1</v>
      </c>
      <c r="S9" s="10">
        <f t="shared" ref="S9:S72" si="6">+IF(O9="No Bet",0,
IF(O9="T1",IF(M9="T1",1/E9-1,-1),
IF(O9="Draw",IF(M9="Draw",1/F9-1,-1),
IF(O9="T2",IF(M9="T2",1/G9-1,-1),0))))</f>
        <v>1.6666666666666665</v>
      </c>
      <c r="T9" s="10">
        <f t="shared" ref="T9:T72" si="7">+IF(P9="No Bet",0,
IF(P9="T1",IF(M9="T1",1/E9-1,-1),
IF(P9="Draw",IF(M9="Draw",1/F9-1,-1),
IF(P9="T2",IF(M9="T2",1/G9-1,-1),0))))</f>
        <v>-1</v>
      </c>
      <c r="U9" s="10"/>
      <c r="X9" s="10"/>
      <c r="Y9" s="10"/>
      <c r="AB9" s="10"/>
      <c r="AC9" s="10"/>
      <c r="AF9" s="10"/>
      <c r="AG9" s="10"/>
      <c r="AK9" s="10"/>
      <c r="AL9" s="10"/>
    </row>
    <row r="10" spans="2:38" s="9" customFormat="1" x14ac:dyDescent="0.25">
      <c r="B10" s="8">
        <v>46185</v>
      </c>
      <c r="C10" s="9" t="s">
        <v>5</v>
      </c>
      <c r="D10" s="9" t="s">
        <v>6</v>
      </c>
      <c r="E10" s="10">
        <v>0.54</v>
      </c>
      <c r="F10" s="10">
        <v>0.28000000000000003</v>
      </c>
      <c r="G10" s="10">
        <v>0.2</v>
      </c>
      <c r="H10" s="10"/>
      <c r="I10" s="10"/>
      <c r="J10" s="10"/>
      <c r="K10" s="12">
        <v>1</v>
      </c>
      <c r="L10" s="12">
        <v>1</v>
      </c>
      <c r="M10" s="9" t="str">
        <f t="shared" si="1"/>
        <v>Draw</v>
      </c>
      <c r="N10" s="9" t="str">
        <f t="shared" si="2"/>
        <v>Draw</v>
      </c>
      <c r="O10" s="9" t="str">
        <f t="shared" si="3"/>
        <v>T1</v>
      </c>
      <c r="P10" s="9" t="str">
        <f t="shared" si="4"/>
        <v>No Bet</v>
      </c>
      <c r="R10" s="10">
        <f t="shared" si="5"/>
        <v>2.5714285714285712</v>
      </c>
      <c r="S10" s="10">
        <f t="shared" si="6"/>
        <v>-1</v>
      </c>
      <c r="T10" s="10">
        <f t="shared" si="7"/>
        <v>0</v>
      </c>
      <c r="U10" s="10"/>
      <c r="X10" s="10"/>
      <c r="Y10" s="10"/>
      <c r="AB10" s="10"/>
      <c r="AC10" s="10"/>
      <c r="AF10" s="10"/>
      <c r="AG10" s="10"/>
      <c r="AK10" s="10"/>
      <c r="AL10" s="10"/>
    </row>
    <row r="11" spans="2:38" s="9" customFormat="1" x14ac:dyDescent="0.25">
      <c r="B11" s="8">
        <v>46185</v>
      </c>
      <c r="C11" s="9" t="s">
        <v>7</v>
      </c>
      <c r="D11" s="9" t="s">
        <v>8</v>
      </c>
      <c r="E11" s="10">
        <v>0.47</v>
      </c>
      <c r="F11" s="10">
        <v>0.3</v>
      </c>
      <c r="G11" s="10">
        <v>0.24</v>
      </c>
      <c r="H11" s="10"/>
      <c r="I11" s="10"/>
      <c r="J11" s="10"/>
      <c r="K11" s="12">
        <v>4</v>
      </c>
      <c r="L11" s="12">
        <v>1</v>
      </c>
      <c r="M11" s="9" t="str">
        <f t="shared" si="1"/>
        <v>T1</v>
      </c>
      <c r="N11" s="9" t="str">
        <f t="shared" si="2"/>
        <v>Draw</v>
      </c>
      <c r="O11" s="9" t="str">
        <f t="shared" si="3"/>
        <v>T1</v>
      </c>
      <c r="P11" s="9" t="str">
        <f t="shared" si="4"/>
        <v>No Bet</v>
      </c>
      <c r="R11" s="10">
        <f t="shared" si="5"/>
        <v>-1</v>
      </c>
      <c r="S11" s="10">
        <f t="shared" si="6"/>
        <v>1.1276595744680851</v>
      </c>
      <c r="T11" s="10">
        <f t="shared" si="7"/>
        <v>0</v>
      </c>
      <c r="U11" s="10"/>
      <c r="X11" s="10"/>
      <c r="Y11" s="10"/>
      <c r="AB11" s="10"/>
      <c r="AC11" s="10"/>
      <c r="AF11" s="10"/>
      <c r="AG11" s="10"/>
      <c r="AK11" s="10"/>
      <c r="AL11" s="10"/>
    </row>
    <row r="12" spans="2:38" s="9" customFormat="1" x14ac:dyDescent="0.25">
      <c r="B12" s="8">
        <v>46186</v>
      </c>
      <c r="C12" s="9" t="s">
        <v>15</v>
      </c>
      <c r="D12" s="9" t="s">
        <v>16</v>
      </c>
      <c r="E12" s="10">
        <v>5.8999999999999997E-2</v>
      </c>
      <c r="F12" s="10">
        <v>0.14000000000000001</v>
      </c>
      <c r="G12" s="10">
        <v>0.81</v>
      </c>
      <c r="H12" s="10"/>
      <c r="I12" s="10"/>
      <c r="J12" s="10"/>
      <c r="K12" s="12">
        <v>1</v>
      </c>
      <c r="L12" s="12">
        <v>1</v>
      </c>
      <c r="M12" s="9" t="str">
        <f t="shared" si="1"/>
        <v>Draw</v>
      </c>
      <c r="N12" s="9" t="str">
        <f t="shared" si="2"/>
        <v>Draw</v>
      </c>
      <c r="O12" s="9" t="str">
        <f t="shared" si="3"/>
        <v>T2</v>
      </c>
      <c r="P12" s="9" t="str">
        <f t="shared" si="4"/>
        <v>T2</v>
      </c>
      <c r="R12" s="10">
        <f t="shared" si="5"/>
        <v>6.1428571428571423</v>
      </c>
      <c r="S12" s="10">
        <f t="shared" si="6"/>
        <v>-1</v>
      </c>
      <c r="T12" s="10">
        <f t="shared" si="7"/>
        <v>-1</v>
      </c>
      <c r="U12" s="10"/>
      <c r="X12" s="10"/>
      <c r="Y12" s="10"/>
      <c r="AB12" s="10"/>
      <c r="AC12" s="10"/>
      <c r="AF12" s="10"/>
      <c r="AG12" s="10"/>
      <c r="AK12" s="10"/>
      <c r="AL12" s="10"/>
    </row>
    <row r="13" spans="2:38" s="9" customFormat="1" x14ac:dyDescent="0.25">
      <c r="B13" s="8">
        <v>46186</v>
      </c>
      <c r="C13" s="9" t="s">
        <v>17</v>
      </c>
      <c r="D13" s="9" t="s">
        <v>18</v>
      </c>
      <c r="E13" s="10">
        <v>0.6</v>
      </c>
      <c r="F13" s="10">
        <v>0.25</v>
      </c>
      <c r="G13" s="10">
        <v>0.17</v>
      </c>
      <c r="H13" s="10"/>
      <c r="I13" s="10"/>
      <c r="J13" s="10"/>
      <c r="K13" s="12">
        <v>1</v>
      </c>
      <c r="L13" s="12">
        <v>1</v>
      </c>
      <c r="M13" s="9" t="str">
        <f t="shared" si="1"/>
        <v>Draw</v>
      </c>
      <c r="N13" s="9" t="str">
        <f t="shared" si="2"/>
        <v>Draw</v>
      </c>
      <c r="O13" s="9" t="str">
        <f t="shared" si="3"/>
        <v>T1</v>
      </c>
      <c r="P13" s="9" t="str">
        <f t="shared" si="4"/>
        <v>T1</v>
      </c>
      <c r="R13" s="10">
        <f t="shared" si="5"/>
        <v>3</v>
      </c>
      <c r="S13" s="10">
        <f t="shared" si="6"/>
        <v>-1</v>
      </c>
      <c r="T13" s="10">
        <f t="shared" si="7"/>
        <v>-1</v>
      </c>
      <c r="U13" s="10"/>
      <c r="X13" s="10"/>
      <c r="Y13" s="10"/>
      <c r="AB13" s="10"/>
      <c r="AC13" s="10"/>
      <c r="AF13" s="10"/>
      <c r="AG13" s="10"/>
      <c r="AK13" s="10"/>
      <c r="AL13" s="10"/>
    </row>
    <row r="14" spans="2:38" s="9" customFormat="1" x14ac:dyDescent="0.25">
      <c r="B14" s="8">
        <v>46186</v>
      </c>
      <c r="C14" s="9" t="s">
        <v>19</v>
      </c>
      <c r="D14" s="9" t="s">
        <v>20</v>
      </c>
      <c r="E14" s="10">
        <v>0.16</v>
      </c>
      <c r="F14" s="10">
        <v>0.23</v>
      </c>
      <c r="G14" s="10">
        <v>0.62</v>
      </c>
      <c r="H14" s="10"/>
      <c r="I14" s="10"/>
      <c r="J14" s="10"/>
      <c r="K14" s="12">
        <v>0</v>
      </c>
      <c r="L14" s="12">
        <v>1</v>
      </c>
      <c r="M14" s="9" t="str">
        <f t="shared" si="1"/>
        <v>T2</v>
      </c>
      <c r="N14" s="9" t="str">
        <f t="shared" si="2"/>
        <v>Draw</v>
      </c>
      <c r="O14" s="9" t="str">
        <f t="shared" si="3"/>
        <v>T2</v>
      </c>
      <c r="P14" s="9" t="str">
        <f t="shared" si="4"/>
        <v>T2</v>
      </c>
      <c r="R14" s="10">
        <f t="shared" si="5"/>
        <v>-1</v>
      </c>
      <c r="S14" s="10">
        <f t="shared" si="6"/>
        <v>0.61290322580645173</v>
      </c>
      <c r="T14" s="10">
        <f t="shared" si="7"/>
        <v>0.61290322580645173</v>
      </c>
      <c r="U14" s="10"/>
      <c r="X14" s="10"/>
      <c r="Y14" s="10"/>
      <c r="AB14" s="10"/>
      <c r="AC14" s="10"/>
      <c r="AF14" s="10"/>
      <c r="AG14" s="10"/>
      <c r="AK14" s="10"/>
      <c r="AL14" s="10"/>
    </row>
    <row r="15" spans="2:38" s="9" customFormat="1" x14ac:dyDescent="0.25">
      <c r="B15" s="8">
        <v>46187</v>
      </c>
      <c r="C15" s="9" t="s">
        <v>21</v>
      </c>
      <c r="D15" s="9" t="s">
        <v>22</v>
      </c>
      <c r="E15" s="10">
        <v>0.19</v>
      </c>
      <c r="F15" s="10">
        <v>0.26</v>
      </c>
      <c r="G15" s="10">
        <v>0.56999999999999995</v>
      </c>
      <c r="H15" s="10"/>
      <c r="I15" s="10"/>
      <c r="J15" s="10"/>
      <c r="K15" s="12">
        <v>2</v>
      </c>
      <c r="L15" s="12">
        <v>0</v>
      </c>
      <c r="M15" s="9" t="str">
        <f t="shared" si="1"/>
        <v>T1</v>
      </c>
      <c r="N15" s="9" t="str">
        <f t="shared" si="2"/>
        <v>Draw</v>
      </c>
      <c r="O15" s="9" t="str">
        <f t="shared" si="3"/>
        <v>T2</v>
      </c>
      <c r="P15" s="9" t="str">
        <f t="shared" si="4"/>
        <v>No Bet</v>
      </c>
      <c r="R15" s="10">
        <f t="shared" si="5"/>
        <v>-1</v>
      </c>
      <c r="S15" s="10">
        <f t="shared" si="6"/>
        <v>-1</v>
      </c>
      <c r="T15" s="10">
        <f t="shared" si="7"/>
        <v>0</v>
      </c>
      <c r="U15" s="10"/>
      <c r="X15" s="10"/>
      <c r="Y15" s="10"/>
      <c r="AB15" s="10"/>
      <c r="AC15" s="10"/>
      <c r="AF15" s="10"/>
      <c r="AG15" s="10"/>
      <c r="AK15" s="10"/>
      <c r="AL15" s="10"/>
    </row>
    <row r="16" spans="2:38" s="9" customFormat="1" x14ac:dyDescent="0.25">
      <c r="B16" s="8">
        <v>46187</v>
      </c>
      <c r="C16" s="9" t="s">
        <v>23</v>
      </c>
      <c r="D16" s="9" t="s">
        <v>24</v>
      </c>
      <c r="E16" s="10">
        <v>0.94099999999999995</v>
      </c>
      <c r="F16" s="10">
        <v>0.04</v>
      </c>
      <c r="G16" s="10">
        <v>2.1999999999999999E-2</v>
      </c>
      <c r="H16" s="10"/>
      <c r="I16" s="10"/>
      <c r="J16" s="10"/>
      <c r="K16" s="12">
        <v>7</v>
      </c>
      <c r="L16" s="12">
        <v>1</v>
      </c>
      <c r="M16" s="9" t="str">
        <f t="shared" si="1"/>
        <v>T1</v>
      </c>
      <c r="N16" s="9" t="str">
        <f t="shared" si="2"/>
        <v>Draw</v>
      </c>
      <c r="O16" s="9" t="str">
        <f t="shared" si="3"/>
        <v>T1</v>
      </c>
      <c r="P16" s="9" t="str">
        <f t="shared" si="4"/>
        <v>T1</v>
      </c>
      <c r="R16" s="10">
        <f t="shared" si="5"/>
        <v>-1</v>
      </c>
      <c r="S16" s="10">
        <f t="shared" si="6"/>
        <v>6.2699256110520851E-2</v>
      </c>
      <c r="T16" s="10">
        <f t="shared" si="7"/>
        <v>6.2699256110520851E-2</v>
      </c>
      <c r="U16" s="10"/>
      <c r="X16" s="10"/>
      <c r="Y16" s="10"/>
      <c r="AB16" s="10"/>
      <c r="AC16" s="10"/>
      <c r="AF16" s="10"/>
      <c r="AG16" s="10"/>
      <c r="AK16" s="10"/>
      <c r="AL16" s="10"/>
    </row>
    <row r="17" spans="2:38" s="9" customFormat="1" x14ac:dyDescent="0.25">
      <c r="B17" s="8">
        <v>46187</v>
      </c>
      <c r="C17" s="9" t="s">
        <v>25</v>
      </c>
      <c r="D17" s="9" t="s">
        <v>26</v>
      </c>
      <c r="E17" s="10">
        <v>0.49</v>
      </c>
      <c r="F17" s="10">
        <v>0.27</v>
      </c>
      <c r="G17" s="10">
        <v>0.26</v>
      </c>
      <c r="H17" s="10"/>
      <c r="I17" s="10"/>
      <c r="J17" s="10"/>
      <c r="K17" s="12">
        <v>2</v>
      </c>
      <c r="L17" s="12">
        <v>2</v>
      </c>
      <c r="M17" s="9" t="str">
        <f t="shared" si="1"/>
        <v>Draw</v>
      </c>
      <c r="N17" s="9" t="str">
        <f t="shared" si="2"/>
        <v>Draw</v>
      </c>
      <c r="O17" s="9" t="str">
        <f t="shared" si="3"/>
        <v>T1</v>
      </c>
      <c r="P17" s="9" t="str">
        <f t="shared" si="4"/>
        <v>No Bet</v>
      </c>
      <c r="R17" s="10">
        <f t="shared" si="5"/>
        <v>2.7037037037037033</v>
      </c>
      <c r="S17" s="10">
        <f t="shared" si="6"/>
        <v>-1</v>
      </c>
      <c r="T17" s="10">
        <f t="shared" si="7"/>
        <v>0</v>
      </c>
      <c r="U17" s="10"/>
      <c r="X17" s="10"/>
      <c r="Y17" s="10"/>
      <c r="AB17" s="10"/>
      <c r="AC17" s="10"/>
      <c r="AF17" s="10"/>
      <c r="AG17" s="10"/>
      <c r="AK17" s="10"/>
      <c r="AL17" s="10"/>
    </row>
    <row r="18" spans="2:38" s="14" customFormat="1" x14ac:dyDescent="0.25">
      <c r="B18" s="13">
        <v>46187</v>
      </c>
      <c r="C18" s="14" t="s">
        <v>27</v>
      </c>
      <c r="D18" s="14" t="s">
        <v>28</v>
      </c>
      <c r="E18" s="15">
        <v>0.27</v>
      </c>
      <c r="F18" s="15">
        <v>0.34</v>
      </c>
      <c r="G18" s="15">
        <v>0.4</v>
      </c>
      <c r="H18" s="15"/>
      <c r="I18" s="15"/>
      <c r="J18" s="15"/>
      <c r="K18" s="17">
        <v>1</v>
      </c>
      <c r="L18" s="17">
        <v>0</v>
      </c>
      <c r="M18" s="9" t="str">
        <f t="shared" si="1"/>
        <v>T1</v>
      </c>
      <c r="N18" s="9" t="str">
        <f t="shared" si="2"/>
        <v>Draw</v>
      </c>
      <c r="O18" s="9" t="str">
        <f t="shared" si="3"/>
        <v>T2</v>
      </c>
      <c r="P18" s="9" t="str">
        <f t="shared" si="4"/>
        <v>Draw</v>
      </c>
      <c r="R18" s="10">
        <f t="shared" si="5"/>
        <v>-1</v>
      </c>
      <c r="S18" s="10">
        <f t="shared" si="6"/>
        <v>-1</v>
      </c>
      <c r="T18" s="10">
        <f t="shared" si="7"/>
        <v>-1</v>
      </c>
      <c r="U18" s="15"/>
      <c r="W18" s="9"/>
      <c r="X18" s="15"/>
      <c r="Y18" s="15"/>
      <c r="AB18" s="15"/>
      <c r="AC18" s="15"/>
      <c r="AF18" s="15"/>
      <c r="AG18" s="15"/>
      <c r="AK18" s="15"/>
      <c r="AL18" s="15"/>
    </row>
    <row r="19" spans="2:38" s="9" customFormat="1" x14ac:dyDescent="0.25">
      <c r="B19" s="8">
        <v>46187</v>
      </c>
      <c r="C19" s="9" t="s">
        <v>29</v>
      </c>
      <c r="D19" s="9" t="s">
        <v>30</v>
      </c>
      <c r="E19" s="10">
        <v>0.52</v>
      </c>
      <c r="F19" s="10">
        <v>0.28000000000000003</v>
      </c>
      <c r="G19" s="10">
        <v>0.22</v>
      </c>
      <c r="H19" s="10"/>
      <c r="I19" s="10"/>
      <c r="J19" s="10"/>
      <c r="K19" s="12">
        <v>5</v>
      </c>
      <c r="L19" s="12">
        <v>1</v>
      </c>
      <c r="M19" s="9" t="str">
        <f t="shared" si="1"/>
        <v>T1</v>
      </c>
      <c r="N19" s="9" t="str">
        <f t="shared" si="2"/>
        <v>Draw</v>
      </c>
      <c r="O19" s="9" t="str">
        <f t="shared" si="3"/>
        <v>T1</v>
      </c>
      <c r="P19" s="9" t="str">
        <f t="shared" si="4"/>
        <v>No Bet</v>
      </c>
      <c r="R19" s="10">
        <f t="shared" si="5"/>
        <v>-1</v>
      </c>
      <c r="S19" s="10">
        <f t="shared" si="6"/>
        <v>0.92307692307692291</v>
      </c>
      <c r="T19" s="10">
        <f t="shared" si="7"/>
        <v>0</v>
      </c>
      <c r="U19" s="10"/>
      <c r="X19" s="10"/>
      <c r="Y19" s="10"/>
      <c r="AB19" s="10"/>
      <c r="AC19" s="10"/>
      <c r="AF19" s="10"/>
      <c r="AG19" s="10"/>
      <c r="AK19" s="10"/>
      <c r="AL19" s="10"/>
    </row>
    <row r="20" spans="2:38" s="9" customFormat="1" x14ac:dyDescent="0.25">
      <c r="B20" s="8">
        <v>46188</v>
      </c>
      <c r="C20" s="9" t="s">
        <v>43</v>
      </c>
      <c r="D20" s="9" t="s">
        <v>40</v>
      </c>
      <c r="E20" s="10">
        <v>0.90500000000000003</v>
      </c>
      <c r="F20" s="10">
        <v>6.9000000000000006E-2</v>
      </c>
      <c r="G20" s="10">
        <v>3.4000000000000002E-2</v>
      </c>
      <c r="H20" s="10"/>
      <c r="I20" s="10"/>
      <c r="J20" s="10"/>
      <c r="K20" s="12">
        <v>0</v>
      </c>
      <c r="L20" s="12">
        <v>0</v>
      </c>
      <c r="M20" s="9" t="str">
        <f t="shared" si="1"/>
        <v>Draw</v>
      </c>
      <c r="N20" s="9" t="str">
        <f t="shared" si="2"/>
        <v>Draw</v>
      </c>
      <c r="O20" s="9" t="str">
        <f t="shared" si="3"/>
        <v>T1</v>
      </c>
      <c r="P20" s="9" t="str">
        <f t="shared" si="4"/>
        <v>T1</v>
      </c>
      <c r="R20" s="10">
        <f t="shared" si="5"/>
        <v>13.492753623188404</v>
      </c>
      <c r="S20" s="10">
        <f t="shared" si="6"/>
        <v>-1</v>
      </c>
      <c r="T20" s="10">
        <f t="shared" si="7"/>
        <v>-1</v>
      </c>
      <c r="U20" s="10"/>
      <c r="X20" s="10"/>
      <c r="Y20" s="10"/>
      <c r="AB20" s="10"/>
      <c r="AC20" s="10"/>
      <c r="AF20" s="10"/>
      <c r="AG20" s="10"/>
      <c r="AK20" s="10"/>
      <c r="AL20" s="10"/>
    </row>
    <row r="21" spans="2:38" s="9" customFormat="1" x14ac:dyDescent="0.25">
      <c r="B21" s="8">
        <v>46188</v>
      </c>
      <c r="C21" s="9" t="s">
        <v>47</v>
      </c>
      <c r="D21" s="9" t="s">
        <v>44</v>
      </c>
      <c r="E21" s="10">
        <v>0.65500000000000003</v>
      </c>
      <c r="F21" s="10">
        <v>0.22500000000000001</v>
      </c>
      <c r="G21" s="10">
        <v>0.125</v>
      </c>
      <c r="H21" s="10"/>
      <c r="I21" s="10"/>
      <c r="J21" s="10"/>
      <c r="K21" s="12">
        <v>1</v>
      </c>
      <c r="L21" s="12">
        <v>1</v>
      </c>
      <c r="M21" s="9" t="str">
        <f t="shared" si="1"/>
        <v>Draw</v>
      </c>
      <c r="N21" s="9" t="str">
        <f t="shared" si="2"/>
        <v>Draw</v>
      </c>
      <c r="O21" s="9" t="str">
        <f t="shared" si="3"/>
        <v>T1</v>
      </c>
      <c r="P21" s="9" t="str">
        <f t="shared" si="4"/>
        <v>T1</v>
      </c>
      <c r="R21" s="10">
        <f t="shared" si="5"/>
        <v>3.4444444444444446</v>
      </c>
      <c r="S21" s="10">
        <f t="shared" si="6"/>
        <v>-1</v>
      </c>
      <c r="T21" s="10">
        <f t="shared" si="7"/>
        <v>-1</v>
      </c>
      <c r="U21" s="10"/>
      <c r="X21" s="10"/>
      <c r="Y21" s="10"/>
      <c r="AB21" s="10"/>
      <c r="AC21" s="10"/>
      <c r="AF21" s="10"/>
      <c r="AG21" s="10"/>
      <c r="AK21" s="10"/>
      <c r="AL21" s="10"/>
    </row>
    <row r="22" spans="2:38" s="9" customFormat="1" x14ac:dyDescent="0.25">
      <c r="B22" s="8">
        <v>46188</v>
      </c>
      <c r="C22" s="9" t="s">
        <v>41</v>
      </c>
      <c r="D22" s="9" t="s">
        <v>42</v>
      </c>
      <c r="E22" s="10">
        <v>0.125</v>
      </c>
      <c r="F22" s="10">
        <v>0.245</v>
      </c>
      <c r="G22" s="10">
        <v>0.63500000000000001</v>
      </c>
      <c r="H22" s="10"/>
      <c r="I22" s="10"/>
      <c r="J22" s="10"/>
      <c r="K22" s="12">
        <v>1</v>
      </c>
      <c r="L22" s="12">
        <v>1</v>
      </c>
      <c r="M22" s="9" t="str">
        <f t="shared" si="1"/>
        <v>Draw</v>
      </c>
      <c r="N22" s="9" t="str">
        <f t="shared" si="2"/>
        <v>Draw</v>
      </c>
      <c r="O22" s="9" t="str">
        <f t="shared" si="3"/>
        <v>T2</v>
      </c>
      <c r="P22" s="9" t="str">
        <f t="shared" si="4"/>
        <v>T2</v>
      </c>
      <c r="R22" s="10">
        <f t="shared" si="5"/>
        <v>3.0816326530612246</v>
      </c>
      <c r="S22" s="10">
        <f t="shared" si="6"/>
        <v>-1</v>
      </c>
      <c r="T22" s="10">
        <f t="shared" si="7"/>
        <v>-1</v>
      </c>
      <c r="U22" s="10"/>
      <c r="X22" s="10"/>
      <c r="Y22" s="10"/>
      <c r="AB22" s="10"/>
      <c r="AC22" s="10"/>
      <c r="AF22" s="10"/>
      <c r="AG22" s="10"/>
      <c r="AK22" s="10"/>
      <c r="AL22" s="10"/>
    </row>
    <row r="23" spans="2:38" s="9" customFormat="1" x14ac:dyDescent="0.25">
      <c r="B23" s="8">
        <v>46188</v>
      </c>
      <c r="C23" s="9" t="s">
        <v>45</v>
      </c>
      <c r="D23" s="9" t="s">
        <v>46</v>
      </c>
      <c r="E23" s="10">
        <v>0.52500000000000002</v>
      </c>
      <c r="F23" s="10">
        <v>0.28499999999999998</v>
      </c>
      <c r="G23" s="10">
        <v>0.21</v>
      </c>
      <c r="H23" s="10"/>
      <c r="I23" s="10"/>
      <c r="J23" s="10"/>
      <c r="K23" s="12">
        <v>2</v>
      </c>
      <c r="L23" s="12">
        <v>2</v>
      </c>
      <c r="M23" s="9" t="str">
        <f t="shared" si="1"/>
        <v>Draw</v>
      </c>
      <c r="N23" s="9" t="str">
        <f t="shared" si="2"/>
        <v>Draw</v>
      </c>
      <c r="O23" s="9" t="str">
        <f t="shared" si="3"/>
        <v>T1</v>
      </c>
      <c r="P23" s="9" t="str">
        <f t="shared" si="4"/>
        <v>No Bet</v>
      </c>
      <c r="R23" s="10">
        <f t="shared" si="5"/>
        <v>2.5087719298245617</v>
      </c>
      <c r="S23" s="10">
        <f t="shared" si="6"/>
        <v>-1</v>
      </c>
      <c r="T23" s="10">
        <f t="shared" si="7"/>
        <v>0</v>
      </c>
      <c r="U23" s="10"/>
      <c r="X23" s="10"/>
      <c r="Y23" s="10"/>
      <c r="AB23" s="10"/>
      <c r="AC23" s="10"/>
      <c r="AF23" s="10"/>
      <c r="AG23" s="10"/>
      <c r="AK23" s="10"/>
      <c r="AL23" s="10"/>
    </row>
    <row r="24" spans="2:38" s="9" customFormat="1" x14ac:dyDescent="0.25">
      <c r="B24" s="8">
        <v>46189</v>
      </c>
      <c r="C24" s="9" t="s">
        <v>37</v>
      </c>
      <c r="D24" s="9" t="s">
        <v>38</v>
      </c>
      <c r="E24" s="10">
        <v>0.65500000000000003</v>
      </c>
      <c r="F24" s="10">
        <v>0.215</v>
      </c>
      <c r="G24" s="10">
        <v>0.13500000000000001</v>
      </c>
      <c r="H24" s="10"/>
      <c r="I24" s="10"/>
      <c r="J24" s="10"/>
      <c r="K24" s="12">
        <v>3</v>
      </c>
      <c r="L24" s="12">
        <v>1</v>
      </c>
      <c r="M24" s="9" t="str">
        <f t="shared" si="1"/>
        <v>T1</v>
      </c>
      <c r="N24" s="9" t="str">
        <f t="shared" si="2"/>
        <v>Draw</v>
      </c>
      <c r="O24" s="9" t="str">
        <f t="shared" si="3"/>
        <v>T1</v>
      </c>
      <c r="P24" s="9" t="str">
        <f t="shared" si="4"/>
        <v>T1</v>
      </c>
      <c r="R24" s="10">
        <f t="shared" si="5"/>
        <v>-1</v>
      </c>
      <c r="S24" s="10">
        <f t="shared" si="6"/>
        <v>0.52671755725190827</v>
      </c>
      <c r="T24" s="10">
        <f t="shared" si="7"/>
        <v>0.52671755725190827</v>
      </c>
      <c r="U24" s="10"/>
      <c r="X24" s="10"/>
      <c r="Y24" s="10"/>
      <c r="AB24" s="10"/>
      <c r="AC24" s="10"/>
      <c r="AF24" s="10"/>
      <c r="AG24" s="10"/>
      <c r="AK24" s="10"/>
      <c r="AL24" s="10"/>
    </row>
    <row r="25" spans="2:38" s="9" customFormat="1" x14ac:dyDescent="0.25">
      <c r="B25" s="8">
        <v>46189</v>
      </c>
      <c r="C25" s="9" t="s">
        <v>39</v>
      </c>
      <c r="D25" s="9" t="s">
        <v>36</v>
      </c>
      <c r="E25" s="10">
        <v>1.9E-2</v>
      </c>
      <c r="F25" s="10">
        <v>6.5000000000000002E-2</v>
      </c>
      <c r="G25" s="10">
        <v>0.91500000000000004</v>
      </c>
      <c r="H25" s="10"/>
      <c r="I25" s="10"/>
      <c r="J25" s="10"/>
      <c r="K25" s="12">
        <v>1</v>
      </c>
      <c r="L25" s="12">
        <v>4</v>
      </c>
      <c r="M25" s="9" t="str">
        <f t="shared" si="1"/>
        <v>T2</v>
      </c>
      <c r="N25" s="9" t="str">
        <f t="shared" si="2"/>
        <v>Draw</v>
      </c>
      <c r="O25" s="9" t="str">
        <f t="shared" si="3"/>
        <v>T2</v>
      </c>
      <c r="P25" s="9" t="str">
        <f t="shared" si="4"/>
        <v>T2</v>
      </c>
      <c r="R25" s="10">
        <f t="shared" si="5"/>
        <v>-1</v>
      </c>
      <c r="S25" s="10">
        <f t="shared" si="6"/>
        <v>9.2896174863387859E-2</v>
      </c>
      <c r="T25" s="10">
        <f t="shared" si="7"/>
        <v>9.2896174863387859E-2</v>
      </c>
      <c r="U25" s="10"/>
      <c r="X25" s="10"/>
      <c r="Y25" s="10"/>
      <c r="AB25" s="10"/>
      <c r="AC25" s="10"/>
      <c r="AF25" s="10"/>
      <c r="AG25" s="10"/>
      <c r="AK25" s="10"/>
      <c r="AL25" s="10"/>
    </row>
    <row r="26" spans="2:38" s="9" customFormat="1" x14ac:dyDescent="0.25">
      <c r="B26" s="8">
        <v>46189</v>
      </c>
      <c r="C26" s="9" t="s">
        <v>58</v>
      </c>
      <c r="D26" s="9" t="s">
        <v>55</v>
      </c>
      <c r="E26" s="10">
        <v>0.63500000000000001</v>
      </c>
      <c r="F26" s="10">
        <v>0.23499999999999999</v>
      </c>
      <c r="G26" s="10">
        <v>0.125</v>
      </c>
      <c r="H26" s="10"/>
      <c r="I26" s="10"/>
      <c r="J26" s="10"/>
      <c r="K26" s="12">
        <v>3</v>
      </c>
      <c r="L26" s="12">
        <v>0</v>
      </c>
      <c r="M26" s="9" t="str">
        <f t="shared" si="1"/>
        <v>T1</v>
      </c>
      <c r="N26" s="9" t="str">
        <f t="shared" si="2"/>
        <v>Draw</v>
      </c>
      <c r="O26" s="9" t="str">
        <f t="shared" si="3"/>
        <v>T1</v>
      </c>
      <c r="P26" s="9" t="str">
        <f t="shared" si="4"/>
        <v>T1</v>
      </c>
      <c r="R26" s="10">
        <f t="shared" si="5"/>
        <v>-1</v>
      </c>
      <c r="S26" s="10">
        <f t="shared" si="6"/>
        <v>0.57480314960629908</v>
      </c>
      <c r="T26" s="10">
        <f t="shared" si="7"/>
        <v>0.57480314960629908</v>
      </c>
      <c r="U26" s="10"/>
      <c r="X26" s="10"/>
      <c r="Y26" s="10"/>
      <c r="AB26" s="10"/>
      <c r="AC26" s="10"/>
      <c r="AF26" s="10"/>
      <c r="AG26" s="10"/>
      <c r="AK26" s="10"/>
      <c r="AL26" s="10"/>
    </row>
    <row r="27" spans="2:38" s="9" customFormat="1" x14ac:dyDescent="0.25">
      <c r="B27" s="8">
        <v>46189</v>
      </c>
      <c r="C27" s="9" t="s">
        <v>56</v>
      </c>
      <c r="D27" s="9" t="s">
        <v>57</v>
      </c>
      <c r="E27" s="10">
        <v>0.69499999999999995</v>
      </c>
      <c r="F27" s="10">
        <v>0.20499999999999999</v>
      </c>
      <c r="G27" s="10">
        <v>0.105</v>
      </c>
      <c r="H27" s="10"/>
      <c r="I27" s="10"/>
      <c r="J27" s="10"/>
      <c r="K27" s="12">
        <v>3</v>
      </c>
      <c r="L27" s="12">
        <v>1</v>
      </c>
      <c r="M27" s="9" t="str">
        <f t="shared" si="1"/>
        <v>T1</v>
      </c>
      <c r="N27" s="9" t="str">
        <f t="shared" si="2"/>
        <v>Draw</v>
      </c>
      <c r="O27" s="9" t="str">
        <f t="shared" si="3"/>
        <v>T1</v>
      </c>
      <c r="P27" s="9" t="str">
        <f t="shared" si="4"/>
        <v>T1</v>
      </c>
      <c r="R27" s="10">
        <f t="shared" si="5"/>
        <v>-1</v>
      </c>
      <c r="S27" s="10">
        <f t="shared" si="6"/>
        <v>0.43884892086330951</v>
      </c>
      <c r="T27" s="10">
        <f t="shared" si="7"/>
        <v>0.43884892086330951</v>
      </c>
      <c r="U27" s="10"/>
      <c r="X27" s="10"/>
      <c r="Y27" s="10"/>
      <c r="AB27" s="10"/>
      <c r="AC27" s="10"/>
      <c r="AF27" s="10"/>
      <c r="AG27" s="10"/>
      <c r="AK27" s="10"/>
      <c r="AL27" s="10"/>
    </row>
    <row r="28" spans="2:38" s="9" customFormat="1" x14ac:dyDescent="0.25">
      <c r="B28" s="8">
        <v>46190</v>
      </c>
      <c r="C28" s="9" t="s">
        <v>61</v>
      </c>
      <c r="D28" s="9" t="s">
        <v>62</v>
      </c>
      <c r="E28" s="10">
        <v>0.76500000000000001</v>
      </c>
      <c r="F28" s="10">
        <v>0.16500000000000001</v>
      </c>
      <c r="G28" s="10">
        <v>7.4999999999999997E-2</v>
      </c>
      <c r="H28" s="10"/>
      <c r="I28" s="10"/>
      <c r="J28" s="10"/>
      <c r="K28" s="12">
        <v>1</v>
      </c>
      <c r="L28" s="12">
        <v>1</v>
      </c>
      <c r="M28" s="9" t="str">
        <f t="shared" si="1"/>
        <v>Draw</v>
      </c>
      <c r="N28" s="9" t="str">
        <f t="shared" si="2"/>
        <v>Draw</v>
      </c>
      <c r="O28" s="9" t="str">
        <f t="shared" si="3"/>
        <v>T1</v>
      </c>
      <c r="P28" s="9" t="str">
        <f t="shared" si="4"/>
        <v>T1</v>
      </c>
      <c r="R28" s="10">
        <f t="shared" si="5"/>
        <v>5.0606060606060606</v>
      </c>
      <c r="S28" s="10">
        <f t="shared" si="6"/>
        <v>-1</v>
      </c>
      <c r="T28" s="10">
        <f t="shared" si="7"/>
        <v>-1</v>
      </c>
      <c r="U28" s="10"/>
      <c r="X28" s="10"/>
      <c r="Y28" s="10"/>
      <c r="AB28" s="10"/>
      <c r="AC28" s="10"/>
      <c r="AF28" s="10"/>
      <c r="AG28" s="10"/>
      <c r="AK28" s="10"/>
      <c r="AL28" s="10"/>
    </row>
    <row r="29" spans="2:38" s="9" customFormat="1" x14ac:dyDescent="0.25">
      <c r="B29" s="8">
        <v>46190</v>
      </c>
      <c r="C29" s="9" t="s">
        <v>51</v>
      </c>
      <c r="D29" s="9" t="s">
        <v>48</v>
      </c>
      <c r="E29" s="10">
        <v>0.58499999999999996</v>
      </c>
      <c r="F29" s="10">
        <v>0.255</v>
      </c>
      <c r="G29" s="10">
        <v>0.17499999999999999</v>
      </c>
      <c r="H29" s="10"/>
      <c r="I29" s="10"/>
      <c r="J29" s="10"/>
      <c r="K29" s="12">
        <v>4</v>
      </c>
      <c r="L29" s="12">
        <v>2</v>
      </c>
      <c r="M29" s="9" t="str">
        <f t="shared" si="1"/>
        <v>T1</v>
      </c>
      <c r="N29" s="9" t="str">
        <f t="shared" si="2"/>
        <v>Draw</v>
      </c>
      <c r="O29" s="9" t="str">
        <f t="shared" si="3"/>
        <v>T1</v>
      </c>
      <c r="P29" s="9" t="str">
        <f t="shared" si="4"/>
        <v>No Bet</v>
      </c>
      <c r="R29" s="10">
        <f t="shared" si="5"/>
        <v>-1</v>
      </c>
      <c r="S29" s="10">
        <f t="shared" si="6"/>
        <v>0.70940170940170955</v>
      </c>
      <c r="T29" s="10">
        <f t="shared" si="7"/>
        <v>0</v>
      </c>
      <c r="U29" s="10"/>
      <c r="X29" s="10"/>
      <c r="Y29" s="10"/>
      <c r="AB29" s="10"/>
      <c r="AC29" s="10"/>
      <c r="AF29" s="10"/>
      <c r="AG29" s="10"/>
      <c r="AK29" s="10"/>
      <c r="AL29" s="10"/>
    </row>
    <row r="30" spans="2:38" s="9" customFormat="1" x14ac:dyDescent="0.25">
      <c r="B30" s="8">
        <v>46190</v>
      </c>
      <c r="C30" s="9" t="s">
        <v>49</v>
      </c>
      <c r="D30" s="9" t="s">
        <v>50</v>
      </c>
      <c r="E30" s="10">
        <v>0.29499999999999998</v>
      </c>
      <c r="F30" s="10">
        <v>0.375</v>
      </c>
      <c r="G30" s="10">
        <v>0.32500000000000001</v>
      </c>
      <c r="H30" s="10"/>
      <c r="I30" s="10"/>
      <c r="J30" s="10"/>
      <c r="K30" s="12">
        <v>1</v>
      </c>
      <c r="L30" s="12">
        <v>0</v>
      </c>
      <c r="M30" s="9" t="str">
        <f t="shared" si="1"/>
        <v>T1</v>
      </c>
      <c r="N30" s="9" t="str">
        <f t="shared" si="2"/>
        <v>Draw</v>
      </c>
      <c r="O30" s="9" t="str">
        <f t="shared" si="3"/>
        <v>Draw</v>
      </c>
      <c r="P30" s="9" t="str">
        <f t="shared" si="4"/>
        <v>Draw</v>
      </c>
      <c r="R30" s="10">
        <f t="shared" si="5"/>
        <v>-1</v>
      </c>
      <c r="S30" s="10">
        <f t="shared" si="6"/>
        <v>-1</v>
      </c>
      <c r="T30" s="10">
        <f t="shared" si="7"/>
        <v>-1</v>
      </c>
      <c r="U30" s="10"/>
      <c r="X30" s="10"/>
      <c r="Y30" s="10"/>
      <c r="AB30" s="10"/>
      <c r="AC30" s="10"/>
      <c r="AF30" s="10"/>
      <c r="AG30" s="10"/>
      <c r="AK30" s="10"/>
      <c r="AL30" s="10"/>
    </row>
    <row r="31" spans="2:38" s="9" customFormat="1" x14ac:dyDescent="0.25">
      <c r="B31" s="8">
        <v>46190</v>
      </c>
      <c r="C31" s="9" t="s">
        <v>54</v>
      </c>
      <c r="D31" s="9" t="s">
        <v>52</v>
      </c>
      <c r="E31" s="10">
        <v>7.4999999999999997E-2</v>
      </c>
      <c r="F31" s="10">
        <v>0.17499999999999999</v>
      </c>
      <c r="G31" s="10">
        <v>0.755</v>
      </c>
      <c r="H31" s="10"/>
      <c r="I31" s="10"/>
      <c r="J31" s="10"/>
      <c r="K31" s="12">
        <v>1</v>
      </c>
      <c r="L31" s="12">
        <v>3</v>
      </c>
      <c r="M31" s="9" t="str">
        <f t="shared" si="1"/>
        <v>T2</v>
      </c>
      <c r="N31" s="9" t="str">
        <f t="shared" si="2"/>
        <v>Draw</v>
      </c>
      <c r="O31" s="9" t="str">
        <f t="shared" si="3"/>
        <v>T2</v>
      </c>
      <c r="P31" s="9" t="str">
        <f t="shared" si="4"/>
        <v>T2</v>
      </c>
      <c r="R31" s="10">
        <f t="shared" si="5"/>
        <v>-1</v>
      </c>
      <c r="S31" s="10">
        <f t="shared" si="6"/>
        <v>0.32450331125827825</v>
      </c>
      <c r="T31" s="10">
        <f t="shared" si="7"/>
        <v>0.32450331125827825</v>
      </c>
      <c r="U31" s="10"/>
      <c r="X31" s="10"/>
      <c r="Y31" s="10"/>
      <c r="AB31" s="10"/>
      <c r="AC31" s="10"/>
      <c r="AF31" s="10"/>
      <c r="AG31" s="10"/>
      <c r="AK31" s="10"/>
      <c r="AL31" s="10"/>
    </row>
    <row r="32" spans="2:38" s="9" customFormat="1" x14ac:dyDescent="0.25">
      <c r="B32" s="8">
        <v>46191</v>
      </c>
      <c r="C32" s="9" t="s">
        <v>31</v>
      </c>
      <c r="D32" s="9" t="s">
        <v>33</v>
      </c>
      <c r="E32" s="10">
        <v>0.505</v>
      </c>
      <c r="F32" s="10">
        <v>0.28499999999999998</v>
      </c>
      <c r="G32" s="10">
        <v>0.20499999999999999</v>
      </c>
      <c r="H32" s="10"/>
      <c r="I32" s="10"/>
      <c r="J32" s="10"/>
      <c r="K32" s="12">
        <v>1</v>
      </c>
      <c r="L32" s="12">
        <v>1</v>
      </c>
      <c r="M32" s="9" t="str">
        <f t="shared" si="1"/>
        <v>Draw</v>
      </c>
      <c r="N32" s="9" t="str">
        <f t="shared" si="2"/>
        <v>Draw</v>
      </c>
      <c r="O32" s="9" t="str">
        <f t="shared" si="3"/>
        <v>T1</v>
      </c>
      <c r="P32" s="9" t="str">
        <f t="shared" si="4"/>
        <v>No Bet</v>
      </c>
      <c r="R32" s="10">
        <f t="shared" si="5"/>
        <v>2.5087719298245617</v>
      </c>
      <c r="S32" s="10">
        <f t="shared" si="6"/>
        <v>-1</v>
      </c>
      <c r="T32" s="10">
        <f t="shared" si="7"/>
        <v>0</v>
      </c>
      <c r="U32" s="10"/>
      <c r="X32" s="10"/>
      <c r="Y32" s="10"/>
      <c r="AB32" s="10"/>
      <c r="AC32" s="10"/>
      <c r="AF32" s="10"/>
      <c r="AG32" s="10"/>
      <c r="AK32" s="10"/>
      <c r="AL32" s="10"/>
    </row>
    <row r="33" spans="2:38" s="9" customFormat="1" x14ac:dyDescent="0.25">
      <c r="B33" s="8">
        <v>46191</v>
      </c>
      <c r="C33" s="9" t="s">
        <v>16</v>
      </c>
      <c r="D33" s="9" t="s">
        <v>6</v>
      </c>
      <c r="E33" s="10">
        <v>0.625</v>
      </c>
      <c r="F33" s="10">
        <v>0.23499999999999999</v>
      </c>
      <c r="G33" s="10">
        <v>0.14499999999999999</v>
      </c>
      <c r="H33" s="10"/>
      <c r="I33" s="10"/>
      <c r="J33" s="10"/>
      <c r="K33" s="12">
        <v>4</v>
      </c>
      <c r="L33" s="12">
        <v>1</v>
      </c>
      <c r="M33" s="9" t="str">
        <f t="shared" si="1"/>
        <v>T1</v>
      </c>
      <c r="N33" s="9" t="str">
        <f t="shared" si="2"/>
        <v>Draw</v>
      </c>
      <c r="O33" s="9" t="str">
        <f t="shared" si="3"/>
        <v>T1</v>
      </c>
      <c r="P33" s="9" t="str">
        <f t="shared" si="4"/>
        <v>T1</v>
      </c>
      <c r="R33" s="10">
        <f t="shared" si="5"/>
        <v>-1</v>
      </c>
      <c r="S33" s="10">
        <f t="shared" si="6"/>
        <v>0.60000000000000009</v>
      </c>
      <c r="T33" s="10">
        <f t="shared" si="7"/>
        <v>0.60000000000000009</v>
      </c>
      <c r="U33" s="10"/>
      <c r="X33" s="10"/>
      <c r="Y33" s="10"/>
      <c r="AB33" s="10"/>
      <c r="AC33" s="10"/>
      <c r="AF33" s="10"/>
      <c r="AG33" s="10"/>
      <c r="AK33" s="10"/>
      <c r="AL33" s="10"/>
    </row>
    <row r="34" spans="2:38" s="9" customFormat="1" x14ac:dyDescent="0.25">
      <c r="B34" s="8">
        <v>46191</v>
      </c>
      <c r="C34" s="9" t="s">
        <v>5</v>
      </c>
      <c r="D34" s="9" t="s">
        <v>15</v>
      </c>
      <c r="E34" s="10">
        <v>0.78500000000000003</v>
      </c>
      <c r="F34" s="10">
        <v>0.155</v>
      </c>
      <c r="G34" s="10">
        <v>6.5000000000000002E-2</v>
      </c>
      <c r="H34" s="10"/>
      <c r="I34" s="10"/>
      <c r="J34" s="10"/>
      <c r="K34" s="12">
        <v>6</v>
      </c>
      <c r="L34" s="12">
        <v>0</v>
      </c>
      <c r="M34" s="9" t="str">
        <f t="shared" si="1"/>
        <v>T1</v>
      </c>
      <c r="N34" s="9" t="str">
        <f t="shared" si="2"/>
        <v>Draw</v>
      </c>
      <c r="O34" s="9" t="str">
        <f t="shared" si="3"/>
        <v>T1</v>
      </c>
      <c r="P34" s="9" t="str">
        <f t="shared" si="4"/>
        <v>T1</v>
      </c>
      <c r="R34" s="10">
        <f t="shared" si="5"/>
        <v>-1</v>
      </c>
      <c r="S34" s="10">
        <f t="shared" si="6"/>
        <v>0.27388535031847128</v>
      </c>
      <c r="T34" s="10">
        <f t="shared" si="7"/>
        <v>0.27388535031847128</v>
      </c>
      <c r="U34" s="10"/>
      <c r="X34" s="10"/>
      <c r="Y34" s="10"/>
      <c r="AB34" s="10"/>
      <c r="AC34" s="10"/>
      <c r="AF34" s="10"/>
      <c r="AG34" s="10"/>
      <c r="AK34" s="10"/>
      <c r="AL34" s="10"/>
    </row>
    <row r="35" spans="2:38" s="9" customFormat="1" x14ac:dyDescent="0.25">
      <c r="B35" s="8">
        <v>46191</v>
      </c>
      <c r="C35" s="9" t="s">
        <v>32</v>
      </c>
      <c r="D35" s="9" t="s">
        <v>34</v>
      </c>
      <c r="E35" s="10">
        <v>0.46500000000000002</v>
      </c>
      <c r="F35" s="10">
        <v>0.315</v>
      </c>
      <c r="G35" s="10">
        <v>0.215</v>
      </c>
      <c r="H35" s="10"/>
      <c r="I35" s="10"/>
      <c r="J35" s="10"/>
      <c r="K35" s="12">
        <v>1</v>
      </c>
      <c r="L35" s="12">
        <v>0</v>
      </c>
      <c r="M35" s="9" t="str">
        <f t="shared" si="1"/>
        <v>T1</v>
      </c>
      <c r="N35" s="9" t="str">
        <f t="shared" si="2"/>
        <v>Draw</v>
      </c>
      <c r="O35" s="9" t="str">
        <f t="shared" si="3"/>
        <v>T1</v>
      </c>
      <c r="P35" s="9" t="str">
        <f t="shared" si="4"/>
        <v>Draw</v>
      </c>
      <c r="R35" s="10">
        <f t="shared" si="5"/>
        <v>-1</v>
      </c>
      <c r="S35" s="10">
        <f t="shared" si="6"/>
        <v>1.150537634408602</v>
      </c>
      <c r="T35" s="10">
        <f t="shared" si="7"/>
        <v>-1</v>
      </c>
      <c r="U35" s="10"/>
      <c r="X35" s="10"/>
      <c r="Y35" s="10"/>
      <c r="AB35" s="10"/>
      <c r="AC35" s="10"/>
      <c r="AF35" s="10"/>
      <c r="AG35" s="10"/>
      <c r="AK35" s="10"/>
      <c r="AL35" s="10"/>
    </row>
    <row r="36" spans="2:38" s="9" customFormat="1" x14ac:dyDescent="0.25">
      <c r="B36" s="8">
        <v>46192</v>
      </c>
      <c r="C36" s="9" t="s">
        <v>7</v>
      </c>
      <c r="D36" s="9" t="s">
        <v>21</v>
      </c>
      <c r="E36" s="10">
        <v>0.625</v>
      </c>
      <c r="F36" s="10">
        <v>0.22500000000000001</v>
      </c>
      <c r="G36" s="10">
        <v>0.14499999999999999</v>
      </c>
      <c r="H36" s="10"/>
      <c r="I36" s="10"/>
      <c r="J36" s="10"/>
      <c r="K36" s="12">
        <v>2</v>
      </c>
      <c r="L36" s="12">
        <v>0</v>
      </c>
      <c r="M36" s="9" t="str">
        <f t="shared" si="1"/>
        <v>T1</v>
      </c>
      <c r="N36" s="9" t="str">
        <f t="shared" si="2"/>
        <v>Draw</v>
      </c>
      <c r="O36" s="9" t="str">
        <f t="shared" si="3"/>
        <v>T1</v>
      </c>
      <c r="P36" s="9" t="str">
        <f t="shared" si="4"/>
        <v>T1</v>
      </c>
      <c r="R36" s="10">
        <f t="shared" si="5"/>
        <v>-1</v>
      </c>
      <c r="S36" s="10">
        <f t="shared" si="6"/>
        <v>0.60000000000000009</v>
      </c>
      <c r="T36" s="10">
        <f t="shared" si="7"/>
        <v>0.60000000000000009</v>
      </c>
      <c r="U36" s="10"/>
      <c r="X36" s="10"/>
      <c r="Y36" s="10"/>
      <c r="AB36" s="10"/>
      <c r="AC36" s="10"/>
      <c r="AF36" s="10"/>
      <c r="AG36" s="10"/>
      <c r="AK36" s="10"/>
      <c r="AL36" s="10"/>
    </row>
    <row r="37" spans="2:38" s="9" customFormat="1" x14ac:dyDescent="0.25">
      <c r="B37" s="8">
        <v>46192</v>
      </c>
      <c r="C37" s="9" t="s">
        <v>20</v>
      </c>
      <c r="D37" s="9" t="s">
        <v>18</v>
      </c>
      <c r="E37" s="10">
        <v>0.155</v>
      </c>
      <c r="F37" s="10">
        <v>0.26500000000000001</v>
      </c>
      <c r="G37" s="10">
        <v>0.58499999999999996</v>
      </c>
      <c r="H37" s="10"/>
      <c r="I37" s="10"/>
      <c r="J37" s="10"/>
      <c r="K37" s="12">
        <v>0</v>
      </c>
      <c r="L37" s="12">
        <v>1</v>
      </c>
      <c r="M37" s="9" t="str">
        <f t="shared" si="1"/>
        <v>T2</v>
      </c>
      <c r="N37" s="9" t="str">
        <f t="shared" si="2"/>
        <v>Draw</v>
      </c>
      <c r="O37" s="9" t="str">
        <f t="shared" si="3"/>
        <v>T2</v>
      </c>
      <c r="P37" s="9" t="str">
        <f t="shared" si="4"/>
        <v>No Bet</v>
      </c>
      <c r="R37" s="10">
        <f t="shared" si="5"/>
        <v>-1</v>
      </c>
      <c r="S37" s="10">
        <f t="shared" si="6"/>
        <v>0.70940170940170955</v>
      </c>
      <c r="T37" s="10">
        <f t="shared" si="7"/>
        <v>0</v>
      </c>
      <c r="U37" s="10"/>
      <c r="X37" s="10"/>
      <c r="Y37" s="10"/>
      <c r="AB37" s="10"/>
      <c r="AC37" s="10"/>
      <c r="AF37" s="10"/>
      <c r="AG37" s="10"/>
      <c r="AK37" s="10"/>
      <c r="AL37" s="10"/>
    </row>
    <row r="38" spans="2:38" s="9" customFormat="1" x14ac:dyDescent="0.25">
      <c r="B38" s="8">
        <v>46192</v>
      </c>
      <c r="C38" s="9" t="s">
        <v>17</v>
      </c>
      <c r="D38" s="9" t="s">
        <v>19</v>
      </c>
      <c r="E38" s="10">
        <v>0.875</v>
      </c>
      <c r="F38" s="10">
        <v>8.3000000000000004E-2</v>
      </c>
      <c r="G38" s="10">
        <v>4.2000000000000003E-2</v>
      </c>
      <c r="H38" s="10"/>
      <c r="I38" s="10"/>
      <c r="J38" s="10"/>
      <c r="K38" s="12">
        <v>3</v>
      </c>
      <c r="L38" s="12">
        <v>0</v>
      </c>
      <c r="M38" s="9" t="str">
        <f t="shared" si="1"/>
        <v>T1</v>
      </c>
      <c r="N38" s="9" t="str">
        <f t="shared" si="2"/>
        <v>Draw</v>
      </c>
      <c r="O38" s="9" t="str">
        <f t="shared" si="3"/>
        <v>T1</v>
      </c>
      <c r="P38" s="9" t="str">
        <f t="shared" si="4"/>
        <v>T1</v>
      </c>
      <c r="R38" s="10">
        <f t="shared" si="5"/>
        <v>-1</v>
      </c>
      <c r="S38" s="10">
        <f t="shared" si="6"/>
        <v>0.14285714285714279</v>
      </c>
      <c r="T38" s="10">
        <f t="shared" si="7"/>
        <v>0.14285714285714279</v>
      </c>
      <c r="U38" s="10"/>
      <c r="X38" s="10"/>
      <c r="Y38" s="10"/>
      <c r="AB38" s="10"/>
      <c r="AC38" s="10"/>
      <c r="AF38" s="10"/>
      <c r="AG38" s="10"/>
      <c r="AK38" s="10"/>
      <c r="AL38" s="10"/>
    </row>
    <row r="39" spans="2:38" s="9" customFormat="1" x14ac:dyDescent="0.25">
      <c r="B39" s="8">
        <v>46192</v>
      </c>
      <c r="C39" s="9" t="s">
        <v>22</v>
      </c>
      <c r="D39" s="9" t="s">
        <v>8</v>
      </c>
      <c r="E39" s="10">
        <v>0.45500000000000002</v>
      </c>
      <c r="F39" s="10">
        <v>0.29499999999999998</v>
      </c>
      <c r="G39" s="10">
        <v>0.245</v>
      </c>
      <c r="H39" s="10"/>
      <c r="I39" s="10"/>
      <c r="J39" s="10"/>
      <c r="K39" s="12">
        <v>0</v>
      </c>
      <c r="L39" s="12">
        <v>1</v>
      </c>
      <c r="M39" s="9" t="str">
        <f t="shared" si="1"/>
        <v>T2</v>
      </c>
      <c r="N39" s="9" t="str">
        <f t="shared" si="2"/>
        <v>Draw</v>
      </c>
      <c r="O39" s="9" t="str">
        <f t="shared" si="3"/>
        <v>T1</v>
      </c>
      <c r="P39" s="9" t="str">
        <f t="shared" si="4"/>
        <v>No Bet</v>
      </c>
      <c r="R39" s="10">
        <f t="shared" si="5"/>
        <v>-1</v>
      </c>
      <c r="S39" s="10">
        <f t="shared" si="6"/>
        <v>-1</v>
      </c>
      <c r="T39" s="10">
        <f t="shared" si="7"/>
        <v>0</v>
      </c>
      <c r="U39" s="10"/>
      <c r="X39" s="10"/>
      <c r="Y39" s="10"/>
      <c r="AB39" s="10"/>
      <c r="AC39" s="10"/>
      <c r="AF39" s="10"/>
      <c r="AG39" s="10"/>
      <c r="AK39" s="10"/>
      <c r="AL39" s="10"/>
    </row>
    <row r="40" spans="2:38" s="9" customFormat="1" x14ac:dyDescent="0.25">
      <c r="B40" s="8">
        <v>46193</v>
      </c>
      <c r="C40" s="9" t="s">
        <v>25</v>
      </c>
      <c r="D40" s="9" t="s">
        <v>29</v>
      </c>
      <c r="E40" s="10">
        <v>0.56499999999999995</v>
      </c>
      <c r="F40" s="10">
        <v>0.245</v>
      </c>
      <c r="G40" s="10">
        <v>0.19500000000000001</v>
      </c>
      <c r="H40" s="10"/>
      <c r="I40" s="10"/>
      <c r="J40" s="10"/>
      <c r="K40" s="12">
        <v>5</v>
      </c>
      <c r="L40" s="12">
        <v>1</v>
      </c>
      <c r="M40" s="9" t="str">
        <f t="shared" si="1"/>
        <v>T1</v>
      </c>
      <c r="N40" s="9" t="str">
        <f t="shared" si="2"/>
        <v>Draw</v>
      </c>
      <c r="O40" s="9" t="str">
        <f t="shared" si="3"/>
        <v>T1</v>
      </c>
      <c r="P40" s="9" t="str">
        <f t="shared" si="4"/>
        <v>No Bet</v>
      </c>
      <c r="R40" s="10">
        <f t="shared" si="5"/>
        <v>-1</v>
      </c>
      <c r="S40" s="10">
        <f t="shared" si="6"/>
        <v>0.76991150442477885</v>
      </c>
      <c r="T40" s="10">
        <f t="shared" si="7"/>
        <v>0</v>
      </c>
      <c r="U40" s="10"/>
      <c r="X40" s="10"/>
      <c r="Y40" s="10"/>
      <c r="AB40" s="10"/>
      <c r="AC40" s="10"/>
      <c r="AF40" s="10"/>
      <c r="AG40" s="10"/>
      <c r="AK40" s="10"/>
      <c r="AL40" s="10"/>
    </row>
    <row r="41" spans="2:38" s="9" customFormat="1" x14ac:dyDescent="0.25">
      <c r="B41" s="8">
        <v>46193</v>
      </c>
      <c r="C41" s="9" t="s">
        <v>23</v>
      </c>
      <c r="D41" s="9" t="s">
        <v>63</v>
      </c>
      <c r="E41" s="10">
        <v>0.63500000000000001</v>
      </c>
      <c r="F41" s="10">
        <v>0.20499999999999999</v>
      </c>
      <c r="G41" s="10">
        <v>0.14499999999999999</v>
      </c>
      <c r="H41" s="10"/>
      <c r="I41" s="10"/>
      <c r="J41" s="10"/>
      <c r="K41" s="12">
        <v>2</v>
      </c>
      <c r="L41" s="12">
        <v>1</v>
      </c>
      <c r="M41" s="9" t="str">
        <f t="shared" si="1"/>
        <v>T1</v>
      </c>
      <c r="N41" s="9" t="str">
        <f t="shared" si="2"/>
        <v>Draw</v>
      </c>
      <c r="O41" s="9" t="str">
        <f t="shared" si="3"/>
        <v>T1</v>
      </c>
      <c r="P41" s="9" t="str">
        <f t="shared" si="4"/>
        <v>T1</v>
      </c>
      <c r="R41" s="10">
        <f t="shared" si="5"/>
        <v>-1</v>
      </c>
      <c r="S41" s="10">
        <f t="shared" si="6"/>
        <v>0.57480314960629908</v>
      </c>
      <c r="T41" s="10">
        <f t="shared" si="7"/>
        <v>0.57480314960629908</v>
      </c>
      <c r="U41" s="10"/>
      <c r="X41" s="10"/>
      <c r="Y41" s="10"/>
      <c r="AB41" s="10"/>
      <c r="AC41" s="10"/>
      <c r="AF41" s="10"/>
      <c r="AG41" s="10"/>
      <c r="AK41" s="10"/>
      <c r="AL41" s="10"/>
    </row>
    <row r="42" spans="2:38" s="9" customFormat="1" x14ac:dyDescent="0.25">
      <c r="B42" s="8">
        <v>46193</v>
      </c>
      <c r="C42" s="9" t="s">
        <v>64</v>
      </c>
      <c r="D42" s="9" t="s">
        <v>24</v>
      </c>
      <c r="E42" s="10">
        <v>0.85499999999999998</v>
      </c>
      <c r="F42" s="10">
        <v>0.105</v>
      </c>
      <c r="G42" s="10">
        <v>4.7E-2</v>
      </c>
      <c r="H42" s="10"/>
      <c r="I42" s="10"/>
      <c r="J42" s="10"/>
      <c r="K42" s="12">
        <v>0</v>
      </c>
      <c r="L42" s="12">
        <v>0</v>
      </c>
      <c r="M42" s="9" t="str">
        <f t="shared" si="1"/>
        <v>Draw</v>
      </c>
      <c r="N42" s="9" t="str">
        <f t="shared" si="2"/>
        <v>Draw</v>
      </c>
      <c r="O42" s="9" t="str">
        <f t="shared" si="3"/>
        <v>T1</v>
      </c>
      <c r="P42" s="9" t="str">
        <f t="shared" si="4"/>
        <v>T1</v>
      </c>
      <c r="R42" s="10">
        <f t="shared" si="5"/>
        <v>8.5238095238095237</v>
      </c>
      <c r="S42" s="10">
        <f t="shared" si="6"/>
        <v>-1</v>
      </c>
      <c r="T42" s="10">
        <f t="shared" si="7"/>
        <v>-1</v>
      </c>
      <c r="U42" s="10"/>
      <c r="X42" s="10"/>
      <c r="Y42" s="10"/>
      <c r="AB42" s="10"/>
      <c r="AC42" s="10"/>
      <c r="AF42" s="10"/>
      <c r="AG42" s="10"/>
      <c r="AK42" s="10"/>
      <c r="AL42" s="10"/>
    </row>
    <row r="43" spans="2:38" s="9" customFormat="1" x14ac:dyDescent="0.25">
      <c r="B43" s="8">
        <v>46193</v>
      </c>
      <c r="C43" s="9" t="s">
        <v>30</v>
      </c>
      <c r="D43" s="9" t="s">
        <v>26</v>
      </c>
      <c r="E43" s="10">
        <v>0.105</v>
      </c>
      <c r="F43" s="10">
        <v>0.22500000000000001</v>
      </c>
      <c r="G43" s="10">
        <v>0.66500000000000004</v>
      </c>
      <c r="H43" s="10"/>
      <c r="I43" s="10"/>
      <c r="J43" s="10"/>
      <c r="K43" s="12">
        <v>0</v>
      </c>
      <c r="L43" s="12">
        <v>4</v>
      </c>
      <c r="M43" s="9" t="str">
        <f t="shared" si="1"/>
        <v>T2</v>
      </c>
      <c r="N43" s="9" t="str">
        <f t="shared" si="2"/>
        <v>Draw</v>
      </c>
      <c r="O43" s="9" t="str">
        <f t="shared" si="3"/>
        <v>T2</v>
      </c>
      <c r="P43" s="9" t="str">
        <f t="shared" si="4"/>
        <v>T2</v>
      </c>
      <c r="R43" s="10">
        <f t="shared" si="5"/>
        <v>-1</v>
      </c>
      <c r="S43" s="10">
        <f t="shared" si="6"/>
        <v>0.50375939849624052</v>
      </c>
      <c r="T43" s="10">
        <f t="shared" si="7"/>
        <v>0.50375939849624052</v>
      </c>
      <c r="U43" s="10"/>
      <c r="X43" s="10"/>
      <c r="Y43" s="10"/>
      <c r="AB43" s="10"/>
      <c r="AC43" s="10"/>
      <c r="AF43" s="10"/>
      <c r="AG43" s="10"/>
      <c r="AK43" s="10"/>
      <c r="AL43" s="10"/>
    </row>
    <row r="44" spans="2:38" s="9" customFormat="1" x14ac:dyDescent="0.25">
      <c r="B44" s="8">
        <v>46194</v>
      </c>
      <c r="C44" s="9" t="s">
        <v>43</v>
      </c>
      <c r="D44" s="9" t="s">
        <v>41</v>
      </c>
      <c r="E44" s="10">
        <v>0.90500000000000003</v>
      </c>
      <c r="F44" s="10">
        <v>7.4999999999999997E-2</v>
      </c>
      <c r="G44" s="10">
        <v>2.9000000000000001E-2</v>
      </c>
      <c r="H44" s="10"/>
      <c r="I44" s="10"/>
      <c r="J44" s="10"/>
      <c r="K44" s="12">
        <v>4</v>
      </c>
      <c r="L44" s="12">
        <v>0</v>
      </c>
      <c r="M44" s="9" t="str">
        <f t="shared" si="1"/>
        <v>T1</v>
      </c>
      <c r="N44" s="9" t="str">
        <f t="shared" si="2"/>
        <v>Draw</v>
      </c>
      <c r="O44" s="9" t="str">
        <f t="shared" si="3"/>
        <v>T1</v>
      </c>
      <c r="P44" s="9" t="str">
        <f t="shared" si="4"/>
        <v>T1</v>
      </c>
      <c r="R44" s="10">
        <f t="shared" si="5"/>
        <v>-1</v>
      </c>
      <c r="S44" s="10">
        <f t="shared" si="6"/>
        <v>0.1049723756906078</v>
      </c>
      <c r="T44" s="10">
        <f t="shared" si="7"/>
        <v>0.1049723756906078</v>
      </c>
      <c r="U44" s="10"/>
      <c r="X44" s="10"/>
      <c r="Y44" s="10"/>
      <c r="AB44" s="10"/>
      <c r="AC44" s="10"/>
      <c r="AF44" s="10"/>
      <c r="AG44" s="10"/>
      <c r="AK44" s="10"/>
      <c r="AL44" s="10"/>
    </row>
    <row r="45" spans="2:38" s="9" customFormat="1" x14ac:dyDescent="0.25">
      <c r="B45" s="8">
        <v>46194</v>
      </c>
      <c r="C45" s="9" t="s">
        <v>47</v>
      </c>
      <c r="D45" s="9" t="s">
        <v>45</v>
      </c>
      <c r="E45" s="10">
        <v>0.71499999999999997</v>
      </c>
      <c r="F45" s="10">
        <v>0.19500000000000001</v>
      </c>
      <c r="G45" s="10">
        <v>9.5000000000000001E-2</v>
      </c>
      <c r="H45" s="10"/>
      <c r="I45" s="10"/>
      <c r="J45" s="10"/>
      <c r="K45" s="12">
        <v>0</v>
      </c>
      <c r="L45" s="12">
        <v>0</v>
      </c>
      <c r="M45" s="9" t="str">
        <f t="shared" si="1"/>
        <v>Draw</v>
      </c>
      <c r="N45" s="9" t="str">
        <f t="shared" si="2"/>
        <v>Draw</v>
      </c>
      <c r="O45" s="9" t="str">
        <f t="shared" si="3"/>
        <v>T1</v>
      </c>
      <c r="P45" s="9" t="str">
        <f t="shared" si="4"/>
        <v>T1</v>
      </c>
      <c r="R45" s="10">
        <f t="shared" si="5"/>
        <v>4.1282051282051277</v>
      </c>
      <c r="S45" s="10">
        <f t="shared" si="6"/>
        <v>-1</v>
      </c>
      <c r="T45" s="10">
        <f t="shared" si="7"/>
        <v>-1</v>
      </c>
      <c r="U45" s="10"/>
      <c r="X45" s="10"/>
      <c r="Y45" s="10"/>
      <c r="AB45" s="10"/>
      <c r="AC45" s="10"/>
      <c r="AF45" s="10"/>
      <c r="AG45" s="10"/>
      <c r="AK45" s="10"/>
      <c r="AL45" s="10"/>
    </row>
    <row r="46" spans="2:38" s="9" customFormat="1" x14ac:dyDescent="0.25">
      <c r="B46" s="8">
        <v>46194</v>
      </c>
      <c r="C46" s="9" t="s">
        <v>42</v>
      </c>
      <c r="D46" s="9" t="s">
        <v>40</v>
      </c>
      <c r="E46" s="10">
        <v>0.70499999999999996</v>
      </c>
      <c r="F46" s="10">
        <v>0.215</v>
      </c>
      <c r="G46" s="10">
        <v>8.5000000000000006E-2</v>
      </c>
      <c r="H46" s="10"/>
      <c r="I46" s="10"/>
      <c r="J46" s="10"/>
      <c r="K46" s="12">
        <v>2</v>
      </c>
      <c r="L46" s="12">
        <v>2</v>
      </c>
      <c r="M46" s="9" t="str">
        <f t="shared" si="1"/>
        <v>Draw</v>
      </c>
      <c r="N46" s="9" t="str">
        <f t="shared" si="2"/>
        <v>Draw</v>
      </c>
      <c r="O46" s="9" t="str">
        <f t="shared" si="3"/>
        <v>T1</v>
      </c>
      <c r="P46" s="9" t="str">
        <f t="shared" si="4"/>
        <v>T1</v>
      </c>
      <c r="R46" s="10">
        <f t="shared" si="5"/>
        <v>3.6511627906976747</v>
      </c>
      <c r="S46" s="10">
        <f t="shared" si="6"/>
        <v>-1</v>
      </c>
      <c r="T46" s="10">
        <f t="shared" si="7"/>
        <v>-1</v>
      </c>
      <c r="U46" s="10"/>
      <c r="X46" s="10"/>
      <c r="Y46" s="10"/>
      <c r="AB46" s="10"/>
      <c r="AC46" s="10"/>
      <c r="AF46" s="10"/>
      <c r="AG46" s="10"/>
      <c r="AK46" s="10"/>
      <c r="AL46" s="10"/>
    </row>
    <row r="47" spans="2:38" s="9" customFormat="1" x14ac:dyDescent="0.25">
      <c r="B47" s="8">
        <v>46194</v>
      </c>
      <c r="C47" s="9" t="s">
        <v>46</v>
      </c>
      <c r="D47" s="9" t="s">
        <v>44</v>
      </c>
      <c r="E47" s="10">
        <v>0.155</v>
      </c>
      <c r="F47" s="10">
        <v>0.255</v>
      </c>
      <c r="G47" s="10">
        <v>0.60499999999999998</v>
      </c>
      <c r="H47" s="10"/>
      <c r="I47" s="10"/>
      <c r="J47" s="10"/>
      <c r="K47" s="12">
        <v>1</v>
      </c>
      <c r="L47" s="12">
        <v>3</v>
      </c>
      <c r="M47" s="9" t="str">
        <f t="shared" si="1"/>
        <v>T2</v>
      </c>
      <c r="N47" s="9" t="str">
        <f t="shared" si="2"/>
        <v>Draw</v>
      </c>
      <c r="O47" s="9" t="str">
        <f t="shared" si="3"/>
        <v>T2</v>
      </c>
      <c r="P47" s="9" t="str">
        <f t="shared" si="4"/>
        <v>T2</v>
      </c>
      <c r="R47" s="10">
        <f t="shared" si="5"/>
        <v>-1</v>
      </c>
      <c r="S47" s="10">
        <f t="shared" si="6"/>
        <v>0.65289256198347112</v>
      </c>
      <c r="T47" s="10">
        <f t="shared" si="7"/>
        <v>0.65289256198347112</v>
      </c>
      <c r="U47" s="10"/>
      <c r="X47" s="10"/>
      <c r="Y47" s="10"/>
      <c r="AB47" s="10"/>
      <c r="AC47" s="10"/>
      <c r="AF47" s="10"/>
      <c r="AG47" s="10"/>
      <c r="AK47" s="10"/>
      <c r="AL47" s="10"/>
    </row>
    <row r="48" spans="2:38" s="9" customFormat="1" x14ac:dyDescent="0.25">
      <c r="B48" s="8">
        <v>46195</v>
      </c>
      <c r="C48" s="9" t="s">
        <v>58</v>
      </c>
      <c r="D48" s="9" t="s">
        <v>56</v>
      </c>
      <c r="E48" s="10">
        <v>0.625</v>
      </c>
      <c r="F48" s="10">
        <v>0.255</v>
      </c>
      <c r="G48" s="10">
        <v>0.115</v>
      </c>
      <c r="H48" s="10"/>
      <c r="I48" s="10"/>
      <c r="J48" s="10"/>
      <c r="K48" s="12">
        <v>2</v>
      </c>
      <c r="L48" s="12">
        <v>0</v>
      </c>
      <c r="M48" s="9" t="str">
        <f t="shared" si="1"/>
        <v>T1</v>
      </c>
      <c r="N48" s="9" t="str">
        <f t="shared" si="2"/>
        <v>Draw</v>
      </c>
      <c r="O48" s="9" t="str">
        <f t="shared" si="3"/>
        <v>T1</v>
      </c>
      <c r="P48" s="9" t="str">
        <f t="shared" si="4"/>
        <v>T1</v>
      </c>
      <c r="R48" s="10">
        <f t="shared" si="5"/>
        <v>-1</v>
      </c>
      <c r="S48" s="10">
        <f t="shared" si="6"/>
        <v>0.60000000000000009</v>
      </c>
      <c r="T48" s="10">
        <f t="shared" si="7"/>
        <v>0.60000000000000009</v>
      </c>
      <c r="U48" s="10"/>
      <c r="X48" s="10"/>
      <c r="Y48" s="10"/>
      <c r="AB48" s="10"/>
      <c r="AC48" s="10"/>
      <c r="AF48" s="10"/>
      <c r="AG48" s="10"/>
      <c r="AK48" s="10"/>
      <c r="AL48" s="10"/>
    </row>
    <row r="49" spans="2:38" s="9" customFormat="1" x14ac:dyDescent="0.25">
      <c r="B49" s="8">
        <v>46195</v>
      </c>
      <c r="C49" s="9" t="s">
        <v>37</v>
      </c>
      <c r="D49" s="9" t="s">
        <v>39</v>
      </c>
      <c r="E49" s="10">
        <v>0.91500000000000004</v>
      </c>
      <c r="F49" s="10">
        <v>6.5000000000000002E-2</v>
      </c>
      <c r="G49" s="10">
        <v>2.1000000000000001E-2</v>
      </c>
      <c r="H49" s="10"/>
      <c r="I49" s="10"/>
      <c r="J49" s="10"/>
      <c r="K49" s="12">
        <v>3</v>
      </c>
      <c r="L49" s="12">
        <v>0</v>
      </c>
      <c r="M49" s="9" t="str">
        <f t="shared" si="1"/>
        <v>T1</v>
      </c>
      <c r="N49" s="9" t="str">
        <f t="shared" si="2"/>
        <v>Draw</v>
      </c>
      <c r="O49" s="9" t="str">
        <f t="shared" si="3"/>
        <v>T1</v>
      </c>
      <c r="P49" s="9" t="str">
        <f t="shared" si="4"/>
        <v>T1</v>
      </c>
      <c r="R49" s="10">
        <f t="shared" si="5"/>
        <v>-1</v>
      </c>
      <c r="S49" s="10">
        <f t="shared" si="6"/>
        <v>9.2896174863387859E-2</v>
      </c>
      <c r="T49" s="10">
        <f t="shared" si="7"/>
        <v>9.2896174863387859E-2</v>
      </c>
      <c r="U49" s="10"/>
      <c r="X49" s="10"/>
      <c r="Y49" s="10"/>
      <c r="AB49" s="10"/>
      <c r="AC49" s="10"/>
      <c r="AF49" s="10"/>
      <c r="AG49" s="10"/>
      <c r="AK49" s="10"/>
      <c r="AL49" s="10"/>
    </row>
    <row r="50" spans="2:38" s="9" customFormat="1" x14ac:dyDescent="0.25">
      <c r="B50" s="8">
        <v>46195</v>
      </c>
      <c r="C50" s="9" t="s">
        <v>36</v>
      </c>
      <c r="D50" s="9" t="s">
        <v>38</v>
      </c>
      <c r="E50" s="10">
        <v>0.38500000000000001</v>
      </c>
      <c r="F50" s="10">
        <v>0.33500000000000002</v>
      </c>
      <c r="G50" s="10">
        <v>0.29499999999999998</v>
      </c>
      <c r="H50" s="10"/>
      <c r="I50" s="10"/>
      <c r="J50" s="10"/>
      <c r="K50" s="12">
        <v>3</v>
      </c>
      <c r="L50" s="12">
        <v>2</v>
      </c>
      <c r="M50" s="9" t="str">
        <f t="shared" si="1"/>
        <v>T1</v>
      </c>
      <c r="N50" s="9" t="str">
        <f t="shared" si="2"/>
        <v>Draw</v>
      </c>
      <c r="O50" s="9" t="str">
        <f t="shared" si="3"/>
        <v>T1</v>
      </c>
      <c r="P50" s="9" t="str">
        <f t="shared" si="4"/>
        <v>Draw</v>
      </c>
      <c r="R50" s="10">
        <f t="shared" si="5"/>
        <v>-1</v>
      </c>
      <c r="S50" s="10">
        <f t="shared" si="6"/>
        <v>1.5974025974025974</v>
      </c>
      <c r="T50" s="10">
        <f t="shared" si="7"/>
        <v>-1</v>
      </c>
      <c r="U50" s="10"/>
      <c r="X50" s="10"/>
      <c r="Y50" s="10"/>
      <c r="AB50" s="10"/>
      <c r="AC50" s="10"/>
      <c r="AF50" s="10"/>
      <c r="AG50" s="10"/>
      <c r="AK50" s="10"/>
      <c r="AL50" s="10"/>
    </row>
    <row r="51" spans="2:38" s="9" customFormat="1" x14ac:dyDescent="0.25">
      <c r="B51" s="8">
        <v>46195</v>
      </c>
      <c r="C51" s="9" t="s">
        <v>57</v>
      </c>
      <c r="D51" s="9" t="s">
        <v>55</v>
      </c>
      <c r="E51" s="10">
        <v>0.13500000000000001</v>
      </c>
      <c r="F51" s="10">
        <v>0.22500000000000001</v>
      </c>
      <c r="G51" s="10">
        <v>0.64500000000000002</v>
      </c>
      <c r="H51" s="10"/>
      <c r="I51" s="10"/>
      <c r="J51" s="10"/>
      <c r="K51" s="12">
        <v>1</v>
      </c>
      <c r="L51" s="12">
        <v>2</v>
      </c>
      <c r="M51" s="9" t="str">
        <f t="shared" si="1"/>
        <v>T2</v>
      </c>
      <c r="N51" s="9" t="str">
        <f t="shared" si="2"/>
        <v>Draw</v>
      </c>
      <c r="O51" s="9" t="str">
        <f t="shared" si="3"/>
        <v>T2</v>
      </c>
      <c r="P51" s="9" t="str">
        <f t="shared" si="4"/>
        <v>T2</v>
      </c>
      <c r="R51" s="10">
        <f t="shared" si="5"/>
        <v>-1</v>
      </c>
      <c r="S51" s="10">
        <f t="shared" si="6"/>
        <v>0.55038759689922467</v>
      </c>
      <c r="T51" s="10">
        <f t="shared" si="7"/>
        <v>0.55038759689922467</v>
      </c>
      <c r="U51" s="10"/>
      <c r="X51" s="10"/>
      <c r="Y51" s="10"/>
      <c r="AB51" s="10"/>
      <c r="AC51" s="10"/>
      <c r="AF51" s="10"/>
      <c r="AG51" s="10"/>
      <c r="AK51" s="10"/>
      <c r="AL51" s="10"/>
    </row>
    <row r="52" spans="2:38" s="9" customFormat="1" x14ac:dyDescent="0.25">
      <c r="B52" s="8">
        <v>46196</v>
      </c>
      <c r="C52" s="9" t="s">
        <v>61</v>
      </c>
      <c r="D52" s="9" t="s">
        <v>54</v>
      </c>
      <c r="E52" s="10">
        <v>0.86499999999999999</v>
      </c>
      <c r="F52" s="10">
        <v>0.105</v>
      </c>
      <c r="G52" s="10">
        <v>3.5000000000000003E-2</v>
      </c>
      <c r="H52" s="10"/>
      <c r="I52" s="10"/>
      <c r="J52" s="10"/>
      <c r="K52" s="12">
        <v>5</v>
      </c>
      <c r="L52" s="12">
        <v>0</v>
      </c>
      <c r="M52" s="9" t="str">
        <f t="shared" si="1"/>
        <v>T1</v>
      </c>
      <c r="N52" s="9" t="str">
        <f t="shared" si="2"/>
        <v>Draw</v>
      </c>
      <c r="O52" s="9" t="str">
        <f t="shared" si="3"/>
        <v>T1</v>
      </c>
      <c r="P52" s="9" t="str">
        <f t="shared" si="4"/>
        <v>T1</v>
      </c>
      <c r="R52" s="10">
        <f t="shared" si="5"/>
        <v>-1</v>
      </c>
      <c r="S52" s="10">
        <f t="shared" si="6"/>
        <v>0.1560693641618498</v>
      </c>
      <c r="T52" s="10">
        <f t="shared" si="7"/>
        <v>0.1560693641618498</v>
      </c>
      <c r="U52" s="10"/>
      <c r="X52" s="10"/>
      <c r="Y52" s="10"/>
      <c r="AB52" s="10"/>
      <c r="AC52" s="10"/>
      <c r="AF52" s="10"/>
      <c r="AG52" s="10"/>
      <c r="AK52" s="10"/>
      <c r="AL52" s="10"/>
    </row>
    <row r="53" spans="2:38" s="9" customFormat="1" x14ac:dyDescent="0.25">
      <c r="B53" s="8">
        <v>46196</v>
      </c>
      <c r="C53" s="9" t="s">
        <v>51</v>
      </c>
      <c r="D53" s="9" t="s">
        <v>49</v>
      </c>
      <c r="E53" s="10">
        <v>0.67500000000000004</v>
      </c>
      <c r="F53" s="10">
        <v>0.26500000000000001</v>
      </c>
      <c r="G53" s="10">
        <v>6.5000000000000002E-2</v>
      </c>
      <c r="H53" s="10"/>
      <c r="I53" s="10"/>
      <c r="J53" s="10"/>
      <c r="K53" s="12">
        <v>0</v>
      </c>
      <c r="L53" s="12">
        <v>0</v>
      </c>
      <c r="M53" s="9" t="str">
        <f t="shared" si="1"/>
        <v>Draw</v>
      </c>
      <c r="N53" s="9" t="str">
        <f t="shared" si="2"/>
        <v>Draw</v>
      </c>
      <c r="O53" s="9" t="str">
        <f t="shared" si="3"/>
        <v>T1</v>
      </c>
      <c r="P53" s="9" t="str">
        <f t="shared" si="4"/>
        <v>T1</v>
      </c>
      <c r="R53" s="10">
        <f t="shared" si="5"/>
        <v>2.773584905660377</v>
      </c>
      <c r="S53" s="10">
        <f t="shared" si="6"/>
        <v>-1</v>
      </c>
      <c r="T53" s="10">
        <f t="shared" si="7"/>
        <v>-1</v>
      </c>
      <c r="U53" s="10"/>
      <c r="X53" s="10"/>
      <c r="Y53" s="10"/>
      <c r="AB53" s="10"/>
      <c r="AC53" s="10"/>
      <c r="AF53" s="10"/>
      <c r="AG53" s="10"/>
      <c r="AK53" s="10"/>
      <c r="AL53" s="10"/>
    </row>
    <row r="54" spans="2:38" s="9" customFormat="1" x14ac:dyDescent="0.25">
      <c r="B54" s="8">
        <v>46196</v>
      </c>
      <c r="C54" s="9" t="s">
        <v>50</v>
      </c>
      <c r="D54" s="9" t="s">
        <v>48</v>
      </c>
      <c r="E54" s="10">
        <v>0.16500000000000001</v>
      </c>
      <c r="F54" s="10">
        <v>0.32500000000000001</v>
      </c>
      <c r="G54" s="10">
        <v>0.505</v>
      </c>
      <c r="H54" s="10"/>
      <c r="I54" s="10"/>
      <c r="J54" s="10"/>
      <c r="K54" s="12">
        <v>0</v>
      </c>
      <c r="L54" s="12">
        <v>1</v>
      </c>
      <c r="M54" s="9" t="str">
        <f t="shared" si="1"/>
        <v>T2</v>
      </c>
      <c r="N54" s="9" t="str">
        <f t="shared" si="2"/>
        <v>Draw</v>
      </c>
      <c r="O54" s="9" t="str">
        <f t="shared" si="3"/>
        <v>T2</v>
      </c>
      <c r="P54" s="9" t="str">
        <f t="shared" si="4"/>
        <v>Draw</v>
      </c>
      <c r="R54" s="10">
        <f t="shared" si="5"/>
        <v>-1</v>
      </c>
      <c r="S54" s="10">
        <f t="shared" si="6"/>
        <v>0.98019801980198018</v>
      </c>
      <c r="T54" s="10">
        <f t="shared" si="7"/>
        <v>-1</v>
      </c>
      <c r="U54" s="10"/>
      <c r="X54" s="10"/>
      <c r="Y54" s="10"/>
      <c r="AB54" s="10"/>
      <c r="AC54" s="10"/>
      <c r="AF54" s="10"/>
      <c r="AG54" s="10"/>
      <c r="AK54" s="10"/>
      <c r="AL54" s="10"/>
    </row>
    <row r="55" spans="2:38" s="9" customFormat="1" x14ac:dyDescent="0.25">
      <c r="B55" s="8">
        <v>46196</v>
      </c>
      <c r="C55" s="9" t="s">
        <v>52</v>
      </c>
      <c r="D55" s="9" t="s">
        <v>62</v>
      </c>
      <c r="E55" s="10">
        <v>0.63500000000000001</v>
      </c>
      <c r="F55" s="10">
        <v>0.23499999999999999</v>
      </c>
      <c r="G55" s="10">
        <v>0.13500000000000001</v>
      </c>
      <c r="H55" s="10"/>
      <c r="I55" s="10"/>
      <c r="J55" s="10"/>
      <c r="K55" s="12">
        <v>1</v>
      </c>
      <c r="L55" s="12">
        <v>0</v>
      </c>
      <c r="M55" s="9" t="str">
        <f t="shared" si="1"/>
        <v>T1</v>
      </c>
      <c r="N55" s="9" t="str">
        <f t="shared" si="2"/>
        <v>Draw</v>
      </c>
      <c r="O55" s="9" t="str">
        <f t="shared" si="3"/>
        <v>T1</v>
      </c>
      <c r="P55" s="9" t="str">
        <f t="shared" si="4"/>
        <v>T1</v>
      </c>
      <c r="R55" s="10">
        <f t="shared" si="5"/>
        <v>-1</v>
      </c>
      <c r="S55" s="10">
        <f t="shared" si="6"/>
        <v>0.57480314960629908</v>
      </c>
      <c r="T55" s="10">
        <f t="shared" si="7"/>
        <v>0.57480314960629908</v>
      </c>
      <c r="U55" s="10"/>
      <c r="X55" s="10"/>
      <c r="Y55" s="10"/>
      <c r="AB55" s="10"/>
      <c r="AC55" s="10"/>
      <c r="AF55" s="10"/>
      <c r="AG55" s="10"/>
      <c r="AK55" s="10"/>
      <c r="AL55" s="10"/>
    </row>
    <row r="56" spans="2:38" s="9" customFormat="1" x14ac:dyDescent="0.25">
      <c r="B56" s="8">
        <v>46197</v>
      </c>
      <c r="C56" s="9" t="s">
        <v>5</v>
      </c>
      <c r="D56" s="9" t="s">
        <v>16</v>
      </c>
      <c r="E56" s="10">
        <v>0.84</v>
      </c>
      <c r="F56" s="10">
        <v>0.15</v>
      </c>
      <c r="G56" s="10">
        <v>0.08</v>
      </c>
      <c r="H56" s="10"/>
      <c r="I56" s="10"/>
      <c r="J56" s="10"/>
      <c r="K56" s="12">
        <v>2</v>
      </c>
      <c r="L56" s="12">
        <v>1</v>
      </c>
      <c r="M56" s="9" t="str">
        <f t="shared" si="1"/>
        <v>T1</v>
      </c>
      <c r="N56" s="9" t="str">
        <f t="shared" si="2"/>
        <v>Draw</v>
      </c>
      <c r="O56" s="9" t="str">
        <f t="shared" si="3"/>
        <v>T1</v>
      </c>
      <c r="P56" s="9" t="str">
        <f t="shared" si="4"/>
        <v>T1</v>
      </c>
      <c r="R56" s="10">
        <f t="shared" si="5"/>
        <v>-1</v>
      </c>
      <c r="S56" s="10">
        <f t="shared" si="6"/>
        <v>0.19047619047619047</v>
      </c>
      <c r="T56" s="10">
        <f t="shared" si="7"/>
        <v>0.19047619047619047</v>
      </c>
      <c r="U56" s="10"/>
      <c r="X56" s="10"/>
      <c r="Y56" s="10"/>
      <c r="AB56" s="10"/>
      <c r="AC56" s="10"/>
      <c r="AF56" s="10"/>
      <c r="AG56" s="10"/>
      <c r="AK56" s="10"/>
      <c r="AL56" s="10"/>
    </row>
    <row r="57" spans="2:38" s="9" customFormat="1" x14ac:dyDescent="0.25">
      <c r="B57" s="8">
        <v>46197</v>
      </c>
      <c r="C57" s="9" t="s">
        <v>15</v>
      </c>
      <c r="D57" s="9" t="s">
        <v>6</v>
      </c>
      <c r="E57" s="10">
        <v>0.01</v>
      </c>
      <c r="F57" s="10">
        <v>8.0000000000000002E-3</v>
      </c>
      <c r="G57" s="10">
        <v>0.99399999999999999</v>
      </c>
      <c r="H57" s="10"/>
      <c r="I57" s="10"/>
      <c r="J57" s="10"/>
      <c r="K57" s="12">
        <v>1</v>
      </c>
      <c r="L57" s="12">
        <v>3</v>
      </c>
      <c r="M57" s="9" t="str">
        <f t="shared" si="1"/>
        <v>T2</v>
      </c>
      <c r="N57" s="9" t="str">
        <f t="shared" si="2"/>
        <v>No Bet</v>
      </c>
      <c r="O57" s="9" t="str">
        <f t="shared" si="3"/>
        <v>T2</v>
      </c>
      <c r="P57" s="9" t="str">
        <f t="shared" si="4"/>
        <v>T2</v>
      </c>
      <c r="R57" s="10">
        <f t="shared" si="5"/>
        <v>0</v>
      </c>
      <c r="S57" s="10">
        <f t="shared" si="6"/>
        <v>6.0362173038228661E-3</v>
      </c>
      <c r="T57" s="10">
        <f t="shared" si="7"/>
        <v>6.0362173038228661E-3</v>
      </c>
      <c r="U57" s="10"/>
      <c r="X57" s="10"/>
      <c r="Y57" s="10"/>
      <c r="AB57" s="10"/>
      <c r="AC57" s="10"/>
      <c r="AF57" s="10"/>
      <c r="AG57" s="10"/>
      <c r="AK57" s="10"/>
      <c r="AL57" s="10"/>
    </row>
    <row r="58" spans="2:38" s="9" customFormat="1" x14ac:dyDescent="0.25">
      <c r="B58" s="8">
        <v>46197</v>
      </c>
      <c r="C58" s="9" t="s">
        <v>17</v>
      </c>
      <c r="D58" s="9" t="s">
        <v>20</v>
      </c>
      <c r="E58" s="10">
        <v>0.75</v>
      </c>
      <c r="F58" s="10">
        <v>0.17</v>
      </c>
      <c r="G58" s="10">
        <v>0.09</v>
      </c>
      <c r="H58" s="10"/>
      <c r="I58" s="10"/>
      <c r="J58" s="10"/>
      <c r="K58" s="12">
        <v>3</v>
      </c>
      <c r="L58" s="12">
        <v>0</v>
      </c>
      <c r="M58" s="9" t="str">
        <f t="shared" si="1"/>
        <v>T1</v>
      </c>
      <c r="N58" s="9" t="str">
        <f t="shared" si="2"/>
        <v>Draw</v>
      </c>
      <c r="O58" s="9" t="str">
        <f t="shared" si="3"/>
        <v>T1</v>
      </c>
      <c r="P58" s="9" t="str">
        <f t="shared" si="4"/>
        <v>T1</v>
      </c>
      <c r="R58" s="10">
        <f t="shared" si="5"/>
        <v>-1</v>
      </c>
      <c r="S58" s="10">
        <f t="shared" si="6"/>
        <v>0.33333333333333326</v>
      </c>
      <c r="T58" s="10">
        <f t="shared" si="7"/>
        <v>0.33333333333333326</v>
      </c>
      <c r="U58" s="10"/>
      <c r="X58" s="10"/>
      <c r="Y58" s="10"/>
      <c r="AB58" s="10"/>
      <c r="AC58" s="10"/>
      <c r="AF58" s="10"/>
      <c r="AG58" s="10"/>
      <c r="AK58" s="10"/>
      <c r="AL58" s="10"/>
    </row>
    <row r="59" spans="2:38" s="9" customFormat="1" x14ac:dyDescent="0.25">
      <c r="B59" s="8">
        <v>46197</v>
      </c>
      <c r="C59" s="9" t="s">
        <v>19</v>
      </c>
      <c r="D59" s="9" t="s">
        <v>18</v>
      </c>
      <c r="E59" s="10">
        <v>0.06</v>
      </c>
      <c r="F59" s="10">
        <v>0.13</v>
      </c>
      <c r="G59" s="10">
        <v>0.83</v>
      </c>
      <c r="H59" s="10"/>
      <c r="I59" s="10"/>
      <c r="J59" s="10"/>
      <c r="K59" s="12">
        <v>2</v>
      </c>
      <c r="L59" s="12">
        <v>4</v>
      </c>
      <c r="M59" s="9" t="str">
        <f t="shared" si="1"/>
        <v>T2</v>
      </c>
      <c r="N59" s="9" t="str">
        <f t="shared" si="2"/>
        <v>Draw</v>
      </c>
      <c r="O59" s="9" t="str">
        <f t="shared" si="3"/>
        <v>T2</v>
      </c>
      <c r="P59" s="9" t="str">
        <f t="shared" si="4"/>
        <v>T2</v>
      </c>
      <c r="R59" s="10">
        <f t="shared" si="5"/>
        <v>-1</v>
      </c>
      <c r="S59" s="10">
        <f t="shared" si="6"/>
        <v>0.20481927710843384</v>
      </c>
      <c r="T59" s="10">
        <f t="shared" si="7"/>
        <v>0.20481927710843384</v>
      </c>
      <c r="U59" s="10"/>
      <c r="X59" s="10"/>
      <c r="Y59" s="10"/>
      <c r="AB59" s="10"/>
      <c r="AC59" s="10"/>
      <c r="AF59" s="10"/>
      <c r="AG59" s="10"/>
      <c r="AK59" s="10"/>
      <c r="AL59" s="10"/>
    </row>
    <row r="60" spans="2:38" s="9" customFormat="1" x14ac:dyDescent="0.25">
      <c r="B60" s="8">
        <v>46197</v>
      </c>
      <c r="C60" s="9" t="s">
        <v>31</v>
      </c>
      <c r="D60" s="9" t="s">
        <v>32</v>
      </c>
      <c r="E60" s="10">
        <v>0.26</v>
      </c>
      <c r="F60" s="10">
        <v>0.25</v>
      </c>
      <c r="G60" s="10">
        <v>0.51</v>
      </c>
      <c r="H60" s="10"/>
      <c r="I60" s="10"/>
      <c r="J60" s="10"/>
      <c r="K60" s="12">
        <v>0</v>
      </c>
      <c r="L60" s="12">
        <v>3</v>
      </c>
      <c r="M60" s="9" t="str">
        <f t="shared" si="1"/>
        <v>T2</v>
      </c>
      <c r="N60" s="9" t="str">
        <f t="shared" si="2"/>
        <v>Draw</v>
      </c>
      <c r="O60" s="9" t="str">
        <f t="shared" si="3"/>
        <v>T2</v>
      </c>
      <c r="P60" s="9" t="str">
        <f t="shared" si="4"/>
        <v>No Bet</v>
      </c>
      <c r="R60" s="10">
        <f t="shared" si="5"/>
        <v>-1</v>
      </c>
      <c r="S60" s="10">
        <f t="shared" si="6"/>
        <v>0.96078431372549011</v>
      </c>
      <c r="T60" s="10">
        <f t="shared" si="7"/>
        <v>0</v>
      </c>
      <c r="U60" s="10"/>
      <c r="X60" s="10"/>
      <c r="Y60" s="10"/>
      <c r="AB60" s="10"/>
      <c r="AC60" s="10"/>
      <c r="AF60" s="10"/>
      <c r="AG60" s="10"/>
      <c r="AK60" s="10"/>
      <c r="AL60" s="10"/>
    </row>
    <row r="61" spans="2:38" s="9" customFormat="1" x14ac:dyDescent="0.25">
      <c r="B61" s="8">
        <v>46197</v>
      </c>
      <c r="C61" s="9" t="s">
        <v>33</v>
      </c>
      <c r="D61" s="9" t="s">
        <v>34</v>
      </c>
      <c r="E61" s="10">
        <v>0.16</v>
      </c>
      <c r="F61" s="10">
        <v>0.24</v>
      </c>
      <c r="G61" s="10">
        <v>0.62</v>
      </c>
      <c r="H61" s="10"/>
      <c r="I61" s="10"/>
      <c r="J61" s="10"/>
      <c r="K61" s="12">
        <v>1</v>
      </c>
      <c r="L61" s="12">
        <v>0</v>
      </c>
      <c r="M61" s="9" t="str">
        <f t="shared" si="1"/>
        <v>T1</v>
      </c>
      <c r="N61" s="9" t="str">
        <f t="shared" si="2"/>
        <v>Draw</v>
      </c>
      <c r="O61" s="9" t="str">
        <f t="shared" si="3"/>
        <v>T2</v>
      </c>
      <c r="P61" s="9" t="str">
        <f t="shared" si="4"/>
        <v>T2</v>
      </c>
      <c r="R61" s="10">
        <f t="shared" si="5"/>
        <v>-1</v>
      </c>
      <c r="S61" s="10">
        <f t="shared" si="6"/>
        <v>-1</v>
      </c>
      <c r="T61" s="10">
        <f t="shared" si="7"/>
        <v>-1</v>
      </c>
      <c r="U61" s="10"/>
      <c r="X61" s="10"/>
      <c r="Y61" s="10"/>
      <c r="AB61" s="10"/>
      <c r="AC61" s="10"/>
      <c r="AF61" s="10"/>
      <c r="AG61" s="10"/>
      <c r="AK61" s="10"/>
      <c r="AL61" s="10"/>
    </row>
    <row r="62" spans="2:38" s="9" customFormat="1" x14ac:dyDescent="0.25">
      <c r="B62" s="8">
        <v>46198</v>
      </c>
      <c r="C62" s="9" t="s">
        <v>28</v>
      </c>
      <c r="D62" s="9" t="s">
        <v>23</v>
      </c>
      <c r="E62" s="10">
        <v>0.25</v>
      </c>
      <c r="F62" s="10">
        <v>0.23</v>
      </c>
      <c r="G62" s="10">
        <v>0.54</v>
      </c>
      <c r="H62" s="10"/>
      <c r="I62" s="10"/>
      <c r="J62" s="10"/>
      <c r="K62" s="12">
        <v>2</v>
      </c>
      <c r="L62" s="12">
        <v>1</v>
      </c>
      <c r="M62" s="9" t="str">
        <f t="shared" si="1"/>
        <v>T1</v>
      </c>
      <c r="N62" s="9" t="str">
        <f t="shared" si="2"/>
        <v>Draw</v>
      </c>
      <c r="O62" s="9" t="str">
        <f t="shared" si="3"/>
        <v>T2</v>
      </c>
      <c r="P62" s="9" t="str">
        <f t="shared" si="4"/>
        <v>No Bet</v>
      </c>
      <c r="R62" s="10">
        <f t="shared" si="5"/>
        <v>-1</v>
      </c>
      <c r="S62" s="10">
        <f t="shared" si="6"/>
        <v>-1</v>
      </c>
      <c r="T62" s="10">
        <f t="shared" si="7"/>
        <v>0</v>
      </c>
      <c r="U62" s="10"/>
      <c r="X62" s="10"/>
      <c r="Y62" s="10"/>
      <c r="AB62" s="10"/>
      <c r="AC62" s="10"/>
      <c r="AF62" s="10"/>
      <c r="AG62" s="10"/>
      <c r="AK62" s="10"/>
      <c r="AL62" s="10"/>
    </row>
    <row r="63" spans="2:38" s="9" customFormat="1" x14ac:dyDescent="0.25">
      <c r="B63" s="8">
        <v>46198</v>
      </c>
      <c r="C63" s="9" t="s">
        <v>35</v>
      </c>
      <c r="D63" s="9" t="s">
        <v>63</v>
      </c>
      <c r="E63" s="10">
        <v>0.06</v>
      </c>
      <c r="F63" s="10">
        <v>0.12</v>
      </c>
      <c r="G63" s="10">
        <v>0.84</v>
      </c>
      <c r="H63" s="10"/>
      <c r="I63" s="10"/>
      <c r="J63" s="10"/>
      <c r="K63" s="12">
        <v>0</v>
      </c>
      <c r="L63" s="12">
        <v>2</v>
      </c>
      <c r="M63" s="9" t="str">
        <f t="shared" si="1"/>
        <v>T2</v>
      </c>
      <c r="N63" s="9" t="str">
        <f t="shared" si="2"/>
        <v>Draw</v>
      </c>
      <c r="O63" s="9" t="str">
        <f t="shared" si="3"/>
        <v>T2</v>
      </c>
      <c r="P63" s="9" t="str">
        <f t="shared" si="4"/>
        <v>T2</v>
      </c>
      <c r="R63" s="10">
        <f t="shared" si="5"/>
        <v>-1</v>
      </c>
      <c r="S63" s="10">
        <f t="shared" si="6"/>
        <v>0.19047619047619047</v>
      </c>
      <c r="T63" s="10">
        <f t="shared" si="7"/>
        <v>0.19047619047619047</v>
      </c>
      <c r="U63" s="10"/>
      <c r="X63" s="10"/>
      <c r="Y63" s="10"/>
      <c r="AB63" s="10"/>
      <c r="AC63" s="10"/>
      <c r="AF63" s="10"/>
      <c r="AG63" s="10"/>
      <c r="AK63" s="10"/>
      <c r="AL63" s="10"/>
    </row>
    <row r="64" spans="2:38" s="9" customFormat="1" x14ac:dyDescent="0.25">
      <c r="B64" s="8">
        <v>46198</v>
      </c>
      <c r="C64" s="9" t="s">
        <v>26</v>
      </c>
      <c r="D64" s="9" t="s">
        <v>29</v>
      </c>
      <c r="E64" s="10">
        <v>0.53</v>
      </c>
      <c r="F64" s="10">
        <v>0.27</v>
      </c>
      <c r="G64" s="10">
        <v>0.22</v>
      </c>
      <c r="H64" s="10"/>
      <c r="I64" s="10"/>
      <c r="J64" s="10"/>
      <c r="K64" s="12">
        <v>1</v>
      </c>
      <c r="L64" s="12">
        <v>1</v>
      </c>
      <c r="M64" s="9" t="str">
        <f t="shared" si="1"/>
        <v>Draw</v>
      </c>
      <c r="N64" s="9" t="str">
        <f t="shared" si="2"/>
        <v>Draw</v>
      </c>
      <c r="O64" s="9" t="str">
        <f t="shared" si="3"/>
        <v>T1</v>
      </c>
      <c r="P64" s="9" t="str">
        <f t="shared" si="4"/>
        <v>No Bet</v>
      </c>
      <c r="R64" s="10">
        <f t="shared" si="5"/>
        <v>2.7037037037037033</v>
      </c>
      <c r="S64" s="10">
        <f t="shared" si="6"/>
        <v>-1</v>
      </c>
      <c r="T64" s="10">
        <f t="shared" si="7"/>
        <v>0</v>
      </c>
      <c r="U64" s="10"/>
      <c r="X64" s="10"/>
      <c r="Y64" s="10"/>
      <c r="AB64" s="10"/>
      <c r="AC64" s="10"/>
      <c r="AF64" s="10"/>
      <c r="AG64" s="10"/>
      <c r="AK64" s="10"/>
      <c r="AL64" s="10"/>
    </row>
    <row r="65" spans="2:38" s="9" customFormat="1" x14ac:dyDescent="0.25">
      <c r="B65" s="8">
        <v>46198</v>
      </c>
      <c r="C65" s="9" t="s">
        <v>30</v>
      </c>
      <c r="D65" s="9" t="s">
        <v>25</v>
      </c>
      <c r="E65" s="10">
        <v>3.5999999999999997E-2</v>
      </c>
      <c r="F65" s="10">
        <v>0.1</v>
      </c>
      <c r="G65" s="10">
        <v>0.88</v>
      </c>
      <c r="H65" s="10"/>
      <c r="I65" s="10"/>
      <c r="J65" s="10"/>
      <c r="K65" s="12">
        <v>1</v>
      </c>
      <c r="L65" s="12">
        <v>3</v>
      </c>
      <c r="M65" s="9" t="str">
        <f t="shared" si="1"/>
        <v>T2</v>
      </c>
      <c r="N65" s="9" t="str">
        <f t="shared" si="2"/>
        <v>Draw</v>
      </c>
      <c r="O65" s="9" t="str">
        <f t="shared" si="3"/>
        <v>T2</v>
      </c>
      <c r="P65" s="9" t="str">
        <f t="shared" si="4"/>
        <v>T2</v>
      </c>
      <c r="R65" s="10">
        <f t="shared" si="5"/>
        <v>-1</v>
      </c>
      <c r="S65" s="10">
        <f t="shared" si="6"/>
        <v>0.13636363636363646</v>
      </c>
      <c r="T65" s="10">
        <f t="shared" si="7"/>
        <v>0.13636363636363646</v>
      </c>
      <c r="U65" s="10"/>
      <c r="X65" s="10"/>
      <c r="Y65" s="10"/>
      <c r="AB65" s="10"/>
      <c r="AC65" s="10"/>
      <c r="AF65" s="10"/>
      <c r="AG65" s="10"/>
      <c r="AK65" s="10"/>
      <c r="AL65" s="10"/>
    </row>
    <row r="66" spans="2:38" s="9" customFormat="1" x14ac:dyDescent="0.25">
      <c r="B66" s="8">
        <v>46198</v>
      </c>
      <c r="C66" s="9" t="s">
        <v>22</v>
      </c>
      <c r="D66" s="9" t="s">
        <v>7</v>
      </c>
      <c r="E66" s="10">
        <v>0.27</v>
      </c>
      <c r="F66" s="10">
        <v>0.23</v>
      </c>
      <c r="G66" s="10">
        <v>0.52</v>
      </c>
      <c r="H66" s="10"/>
      <c r="I66" s="10"/>
      <c r="J66" s="10"/>
      <c r="K66" s="12">
        <v>3</v>
      </c>
      <c r="L66" s="12">
        <v>2</v>
      </c>
      <c r="M66" s="9" t="str">
        <f t="shared" si="1"/>
        <v>T1</v>
      </c>
      <c r="N66" s="9" t="str">
        <f t="shared" si="2"/>
        <v>Draw</v>
      </c>
      <c r="O66" s="9" t="str">
        <f t="shared" si="3"/>
        <v>T2</v>
      </c>
      <c r="P66" s="9" t="str">
        <f t="shared" si="4"/>
        <v>No Bet</v>
      </c>
      <c r="R66" s="10">
        <f t="shared" si="5"/>
        <v>-1</v>
      </c>
      <c r="S66" s="10">
        <f t="shared" si="6"/>
        <v>-1</v>
      </c>
      <c r="T66" s="10">
        <f t="shared" si="7"/>
        <v>0</v>
      </c>
      <c r="U66" s="10"/>
      <c r="X66" s="10"/>
      <c r="Y66" s="10"/>
      <c r="AB66" s="10"/>
      <c r="AC66" s="10"/>
      <c r="AF66" s="10"/>
      <c r="AG66" s="10"/>
      <c r="AK66" s="10"/>
      <c r="AL66" s="10"/>
    </row>
    <row r="67" spans="2:38" s="9" customFormat="1" x14ac:dyDescent="0.25">
      <c r="B67" s="8">
        <v>46198</v>
      </c>
      <c r="C67" s="9" t="s">
        <v>8</v>
      </c>
      <c r="D67" s="9" t="s">
        <v>21</v>
      </c>
      <c r="E67" s="10">
        <v>0.34</v>
      </c>
      <c r="F67" s="10">
        <v>0.43</v>
      </c>
      <c r="G67" s="10">
        <v>0.24</v>
      </c>
      <c r="H67" s="10"/>
      <c r="I67" s="10"/>
      <c r="J67" s="10"/>
      <c r="K67" s="12">
        <v>0</v>
      </c>
      <c r="L67" s="12">
        <v>0</v>
      </c>
      <c r="M67" s="9" t="str">
        <f t="shared" si="1"/>
        <v>Draw</v>
      </c>
      <c r="N67" s="9" t="str">
        <f t="shared" si="2"/>
        <v>Draw</v>
      </c>
      <c r="O67" s="9" t="str">
        <f t="shared" si="3"/>
        <v>Draw</v>
      </c>
      <c r="P67" s="9" t="str">
        <f t="shared" si="4"/>
        <v>Draw</v>
      </c>
      <c r="R67" s="10">
        <f t="shared" si="5"/>
        <v>1.3255813953488373</v>
      </c>
      <c r="S67" s="10">
        <f t="shared" si="6"/>
        <v>1.3255813953488373</v>
      </c>
      <c r="T67" s="10">
        <f t="shared" si="7"/>
        <v>1.3255813953488373</v>
      </c>
      <c r="U67" s="10"/>
      <c r="X67" s="10"/>
      <c r="Y67" s="10"/>
      <c r="AB67" s="10"/>
      <c r="AC67" s="10"/>
      <c r="AF67" s="10"/>
      <c r="AG67" s="10"/>
      <c r="AK67" s="10"/>
      <c r="AL67" s="10"/>
    </row>
    <row r="68" spans="2:38" s="9" customFormat="1" x14ac:dyDescent="0.25">
      <c r="B68" s="8">
        <v>46199</v>
      </c>
      <c r="C68" s="9" t="s">
        <v>36</v>
      </c>
      <c r="D68" s="9" t="s">
        <v>37</v>
      </c>
      <c r="E68" s="10">
        <v>0.21</v>
      </c>
      <c r="F68" s="10">
        <v>0.21</v>
      </c>
      <c r="G68" s="10">
        <v>0.6</v>
      </c>
      <c r="H68" s="10"/>
      <c r="I68" s="10"/>
      <c r="J68" s="10"/>
      <c r="K68" s="12">
        <v>1</v>
      </c>
      <c r="L68" s="12">
        <v>4</v>
      </c>
      <c r="M68" s="9" t="str">
        <f t="shared" si="1"/>
        <v>T2</v>
      </c>
      <c r="N68" s="9" t="str">
        <f t="shared" si="2"/>
        <v>Draw</v>
      </c>
      <c r="O68" s="9" t="str">
        <f t="shared" si="3"/>
        <v>T2</v>
      </c>
      <c r="P68" s="9" t="str">
        <f t="shared" si="4"/>
        <v>T2</v>
      </c>
      <c r="R68" s="10">
        <f t="shared" si="5"/>
        <v>-1</v>
      </c>
      <c r="S68" s="10">
        <f t="shared" si="6"/>
        <v>0.66666666666666674</v>
      </c>
      <c r="T68" s="10">
        <f t="shared" si="7"/>
        <v>0.66666666666666674</v>
      </c>
      <c r="U68" s="10"/>
      <c r="X68" s="10"/>
      <c r="Y68" s="10"/>
      <c r="AB68" s="10"/>
      <c r="AC68" s="10"/>
      <c r="AF68" s="10"/>
      <c r="AG68" s="10"/>
      <c r="AK68" s="10"/>
      <c r="AL68" s="10"/>
    </row>
    <row r="69" spans="2:38" s="9" customFormat="1" x14ac:dyDescent="0.25">
      <c r="B69" s="8">
        <v>46199</v>
      </c>
      <c r="C69" s="9" t="s">
        <v>38</v>
      </c>
      <c r="D69" s="9" t="s">
        <v>39</v>
      </c>
      <c r="E69" s="10">
        <v>0.8</v>
      </c>
      <c r="F69" s="10">
        <v>0.15</v>
      </c>
      <c r="G69" s="10">
        <v>7.0000000000000007E-2</v>
      </c>
      <c r="H69" s="10"/>
      <c r="I69" s="10"/>
      <c r="J69" s="10"/>
      <c r="K69" s="12">
        <v>5</v>
      </c>
      <c r="L69" s="12">
        <v>0</v>
      </c>
      <c r="M69" s="9" t="str">
        <f t="shared" si="1"/>
        <v>T1</v>
      </c>
      <c r="N69" s="9" t="str">
        <f t="shared" si="2"/>
        <v>Draw</v>
      </c>
      <c r="O69" s="9" t="str">
        <f t="shared" si="3"/>
        <v>T1</v>
      </c>
      <c r="P69" s="9" t="str">
        <f t="shared" si="4"/>
        <v>T1</v>
      </c>
      <c r="R69" s="10">
        <f t="shared" si="5"/>
        <v>-1</v>
      </c>
      <c r="S69" s="10">
        <f t="shared" si="6"/>
        <v>0.25</v>
      </c>
      <c r="T69" s="10">
        <f t="shared" si="7"/>
        <v>0.25</v>
      </c>
      <c r="U69" s="10"/>
      <c r="X69" s="10"/>
      <c r="Y69" s="10"/>
      <c r="AB69" s="10"/>
      <c r="AC69" s="10"/>
      <c r="AF69" s="10"/>
      <c r="AG69" s="10"/>
      <c r="AK69" s="10"/>
      <c r="AL69" s="10"/>
    </row>
    <row r="70" spans="2:38" s="9" customFormat="1" x14ac:dyDescent="0.25">
      <c r="B70" s="8">
        <v>46199</v>
      </c>
      <c r="C70" s="9" t="s">
        <v>40</v>
      </c>
      <c r="D70" s="9" t="s">
        <v>41</v>
      </c>
      <c r="E70" s="10">
        <v>0.4</v>
      </c>
      <c r="F70" s="10">
        <v>0.28000000000000003</v>
      </c>
      <c r="G70" s="10">
        <v>0.34</v>
      </c>
      <c r="H70" s="10"/>
      <c r="I70" s="10"/>
      <c r="J70" s="10"/>
      <c r="K70" s="12">
        <v>0</v>
      </c>
      <c r="L70" s="12">
        <v>0</v>
      </c>
      <c r="M70" s="9" t="str">
        <f t="shared" si="1"/>
        <v>Draw</v>
      </c>
      <c r="N70" s="9" t="str">
        <f t="shared" si="2"/>
        <v>Draw</v>
      </c>
      <c r="O70" s="9" t="str">
        <f t="shared" si="3"/>
        <v>T1</v>
      </c>
      <c r="P70" s="9" t="str">
        <f t="shared" si="4"/>
        <v>No Bet</v>
      </c>
      <c r="R70" s="10">
        <f t="shared" si="5"/>
        <v>2.5714285714285712</v>
      </c>
      <c r="S70" s="10">
        <f t="shared" si="6"/>
        <v>-1</v>
      </c>
      <c r="T70" s="10">
        <f t="shared" si="7"/>
        <v>0</v>
      </c>
      <c r="U70" s="10"/>
      <c r="X70" s="10"/>
      <c r="Y70" s="10"/>
      <c r="AB70" s="10"/>
      <c r="AC70" s="10"/>
      <c r="AF70" s="10"/>
      <c r="AG70" s="10"/>
      <c r="AK70" s="10"/>
      <c r="AL70" s="10"/>
    </row>
    <row r="71" spans="2:38" s="9" customFormat="1" x14ac:dyDescent="0.25">
      <c r="B71" s="8">
        <v>46199</v>
      </c>
      <c r="C71" s="9" t="s">
        <v>42</v>
      </c>
      <c r="D71" s="9" t="s">
        <v>43</v>
      </c>
      <c r="E71" s="10">
        <v>0.13</v>
      </c>
      <c r="F71" s="10">
        <v>0.23</v>
      </c>
      <c r="G71" s="10">
        <v>0.65</v>
      </c>
      <c r="H71" s="10"/>
      <c r="I71" s="10"/>
      <c r="J71" s="10"/>
      <c r="K71" s="12">
        <v>0</v>
      </c>
      <c r="L71" s="12">
        <v>1</v>
      </c>
      <c r="M71" s="9" t="str">
        <f t="shared" si="1"/>
        <v>T2</v>
      </c>
      <c r="N71" s="9" t="str">
        <f t="shared" si="2"/>
        <v>Draw</v>
      </c>
      <c r="O71" s="9" t="str">
        <f t="shared" si="3"/>
        <v>T2</v>
      </c>
      <c r="P71" s="9" t="str">
        <f t="shared" si="4"/>
        <v>T2</v>
      </c>
      <c r="R71" s="10">
        <f t="shared" si="5"/>
        <v>-1</v>
      </c>
      <c r="S71" s="10">
        <f t="shared" si="6"/>
        <v>0.53846153846153832</v>
      </c>
      <c r="T71" s="10">
        <f t="shared" si="7"/>
        <v>0.53846153846153832</v>
      </c>
      <c r="U71" s="10"/>
      <c r="X71" s="10"/>
      <c r="Y71" s="10"/>
      <c r="AB71" s="10"/>
      <c r="AC71" s="10"/>
      <c r="AF71" s="10"/>
      <c r="AG71" s="10"/>
      <c r="AK71" s="10"/>
      <c r="AL71" s="10"/>
    </row>
    <row r="72" spans="2:38" s="9" customFormat="1" x14ac:dyDescent="0.25">
      <c r="B72" s="8">
        <v>46199</v>
      </c>
      <c r="C72" s="9" t="s">
        <v>44</v>
      </c>
      <c r="D72" s="9" t="s">
        <v>45</v>
      </c>
      <c r="E72" s="10">
        <v>0.4</v>
      </c>
      <c r="F72" s="10">
        <v>0.37</v>
      </c>
      <c r="G72" s="10">
        <v>0.25</v>
      </c>
      <c r="H72" s="10"/>
      <c r="I72" s="10"/>
      <c r="J72" s="10"/>
      <c r="K72" s="12">
        <v>1</v>
      </c>
      <c r="L72" s="12">
        <v>1</v>
      </c>
      <c r="M72" s="9" t="str">
        <f t="shared" si="1"/>
        <v>Draw</v>
      </c>
      <c r="N72" s="9" t="str">
        <f t="shared" si="2"/>
        <v>Draw</v>
      </c>
      <c r="O72" s="9" t="str">
        <f t="shared" si="3"/>
        <v>T1</v>
      </c>
      <c r="P72" s="9" t="str">
        <f t="shared" si="4"/>
        <v>Draw</v>
      </c>
      <c r="R72" s="10">
        <f t="shared" si="5"/>
        <v>1.7027027027027026</v>
      </c>
      <c r="S72" s="10">
        <f t="shared" si="6"/>
        <v>-1</v>
      </c>
      <c r="T72" s="10">
        <f t="shared" si="7"/>
        <v>1.7027027027027026</v>
      </c>
      <c r="U72" s="10"/>
      <c r="X72" s="10"/>
      <c r="Y72" s="10"/>
      <c r="AB72" s="10"/>
      <c r="AC72" s="10"/>
      <c r="AF72" s="10"/>
      <c r="AG72" s="10"/>
      <c r="AK72" s="10"/>
      <c r="AL72" s="10"/>
    </row>
    <row r="73" spans="2:38" s="9" customFormat="1" x14ac:dyDescent="0.25">
      <c r="B73" s="8">
        <v>46199</v>
      </c>
      <c r="C73" s="9" t="s">
        <v>46</v>
      </c>
      <c r="D73" s="9" t="s">
        <v>47</v>
      </c>
      <c r="E73" s="10">
        <v>0.06</v>
      </c>
      <c r="F73" s="10">
        <v>0.12</v>
      </c>
      <c r="G73" s="10">
        <v>0.83</v>
      </c>
      <c r="H73" s="10"/>
      <c r="I73" s="10"/>
      <c r="J73" s="10"/>
      <c r="K73" s="12">
        <v>1</v>
      </c>
      <c r="L73" s="12">
        <v>5</v>
      </c>
      <c r="M73" s="9" t="str">
        <f t="shared" ref="M73:M79" si="8">IF(K73&gt;L73,"T1",IF(K73=L73,"Draw","T2"))</f>
        <v>T2</v>
      </c>
      <c r="N73" s="9" t="str">
        <f t="shared" ref="N73:N79" si="9">IF(F73&gt;0.01,"Draw","No Bet")</f>
        <v>Draw</v>
      </c>
      <c r="O73" s="9" t="str">
        <f t="shared" ref="O73:O75" si="10">+IF(E73=MAX(E73:G73),"T1",
IF(F73=MAX(E73:G73),"Draw","T2"))</f>
        <v>T2</v>
      </c>
      <c r="P73" s="9" t="str">
        <f t="shared" ref="P73:P75" si="11">+IF(F73&gt;0.3,
"Draw",
IF(MAX(E73:G73)&gt;=0.6,
IF(E73=MAX(E73:G73),"T1",
IF(G73=MAX(E73:G73),"T2","Draw")),
"No Bet"))</f>
        <v>T2</v>
      </c>
      <c r="R73" s="10">
        <f t="shared" ref="R73:R75" si="12">+IF(N73="No Bet",0,
IF(N73="T1",IF(M73="T1",1/E73-1,-1),
IF(N73="Draw",IF(M73="Draw",1/F73-1,-1),
IF(N73="T2",IF(M73="T2",1/G73-1,-1),0))))</f>
        <v>-1</v>
      </c>
      <c r="S73" s="10">
        <f t="shared" ref="S73:S75" si="13">+IF(O73="No Bet",0,
IF(O73="T1",IF(M73="T1",1/E73-1,-1),
IF(O73="Draw",IF(M73="Draw",1/F73-1,-1),
IF(O73="T2",IF(M73="T2",1/G73-1,-1),0))))</f>
        <v>0.20481927710843384</v>
      </c>
      <c r="T73" s="10">
        <f t="shared" ref="T73:T75" si="14">+IF(P73="No Bet",0,
IF(P73="T1",IF(M73="T1",1/E73-1,-1),
IF(P73="Draw",IF(M73="Draw",1/F73-1,-1),
IF(P73="T2",IF(M73="T2",1/G73-1,-1),0))))</f>
        <v>0.20481927710843384</v>
      </c>
      <c r="U73" s="10"/>
      <c r="X73" s="10"/>
      <c r="Y73" s="10"/>
      <c r="AB73" s="10"/>
      <c r="AC73" s="10"/>
      <c r="AF73" s="10"/>
      <c r="AG73" s="10"/>
      <c r="AK73" s="10"/>
      <c r="AL73" s="10"/>
    </row>
    <row r="74" spans="2:38" s="9" customFormat="1" x14ac:dyDescent="0.25">
      <c r="B74" s="8">
        <v>46200</v>
      </c>
      <c r="C74" s="9" t="s">
        <v>48</v>
      </c>
      <c r="D74" s="9" t="s">
        <v>49</v>
      </c>
      <c r="E74" s="10">
        <v>0.55000000000000004</v>
      </c>
      <c r="F74" s="10">
        <v>0.3</v>
      </c>
      <c r="G74" s="10">
        <v>0.17</v>
      </c>
      <c r="H74" s="10"/>
      <c r="I74" s="10"/>
      <c r="J74" s="10"/>
      <c r="K74" s="12">
        <v>2</v>
      </c>
      <c r="L74" s="12">
        <v>1</v>
      </c>
      <c r="M74" s="9" t="str">
        <f t="shared" si="8"/>
        <v>T1</v>
      </c>
      <c r="N74" s="9" t="str">
        <f t="shared" si="9"/>
        <v>Draw</v>
      </c>
      <c r="O74" s="9" t="str">
        <f t="shared" si="10"/>
        <v>T1</v>
      </c>
      <c r="P74" s="9" t="str">
        <f t="shared" si="11"/>
        <v>No Bet</v>
      </c>
      <c r="R74" s="10">
        <f t="shared" si="12"/>
        <v>-1</v>
      </c>
      <c r="S74" s="10">
        <f t="shared" si="13"/>
        <v>0.81818181818181812</v>
      </c>
      <c r="T74" s="10">
        <f t="shared" si="14"/>
        <v>0</v>
      </c>
      <c r="U74" s="10"/>
      <c r="X74" s="10"/>
      <c r="Y74" s="10"/>
      <c r="AB74" s="10"/>
      <c r="AC74" s="10"/>
      <c r="AF74" s="10"/>
      <c r="AG74" s="10"/>
      <c r="AK74" s="10"/>
      <c r="AL74" s="10"/>
    </row>
    <row r="75" spans="2:38" s="9" customFormat="1" x14ac:dyDescent="0.25">
      <c r="B75" s="8">
        <v>46200</v>
      </c>
      <c r="C75" s="9" t="s">
        <v>50</v>
      </c>
      <c r="D75" s="9" t="s">
        <v>51</v>
      </c>
      <c r="E75" s="10">
        <v>0.06</v>
      </c>
      <c r="F75" s="10">
        <v>0.12</v>
      </c>
      <c r="G75" s="10">
        <v>0.84</v>
      </c>
      <c r="H75" s="10"/>
      <c r="I75" s="10"/>
      <c r="J75" s="10"/>
      <c r="K75" s="12">
        <v>0</v>
      </c>
      <c r="L75" s="12">
        <v>2</v>
      </c>
      <c r="M75" s="9" t="str">
        <f t="shared" si="8"/>
        <v>T2</v>
      </c>
      <c r="N75" s="9" t="str">
        <f t="shared" si="9"/>
        <v>Draw</v>
      </c>
      <c r="O75" s="9" t="str">
        <f t="shared" si="10"/>
        <v>T2</v>
      </c>
      <c r="P75" s="9" t="str">
        <f t="shared" si="11"/>
        <v>T2</v>
      </c>
      <c r="R75" s="10">
        <f t="shared" si="12"/>
        <v>-1</v>
      </c>
      <c r="S75" s="10">
        <f t="shared" si="13"/>
        <v>0.19047619047619047</v>
      </c>
      <c r="T75" s="10">
        <f t="shared" si="14"/>
        <v>0.19047619047619047</v>
      </c>
      <c r="U75" s="10"/>
      <c r="X75" s="10"/>
      <c r="Y75" s="10"/>
      <c r="AB75" s="10"/>
      <c r="AC75" s="10"/>
      <c r="AF75" s="10"/>
      <c r="AG75" s="10"/>
      <c r="AK75" s="10"/>
      <c r="AL75" s="10"/>
    </row>
    <row r="76" spans="2:38" s="9" customFormat="1" x14ac:dyDescent="0.25">
      <c r="B76" s="8">
        <v>46200</v>
      </c>
      <c r="C76" s="9" t="s">
        <v>52</v>
      </c>
      <c r="D76" s="9" t="s">
        <v>53</v>
      </c>
      <c r="E76" s="10">
        <v>0.24</v>
      </c>
      <c r="F76" s="10">
        <v>0.25</v>
      </c>
      <c r="G76" s="10">
        <v>0.52</v>
      </c>
      <c r="H76" s="10"/>
      <c r="I76" s="10"/>
      <c r="J76" s="10"/>
      <c r="K76" s="12">
        <v>0</v>
      </c>
      <c r="L76" s="12">
        <v>0</v>
      </c>
      <c r="M76" s="9" t="str">
        <f t="shared" si="8"/>
        <v>Draw</v>
      </c>
      <c r="N76" s="9" t="str">
        <f t="shared" si="9"/>
        <v>Draw</v>
      </c>
      <c r="O76" s="9" t="str">
        <f t="shared" ref="O76:O79" si="15">+IF(E76=MAX(E76:G76),"T1",
IF(F76=MAX(E76:G76),"Draw","T2"))</f>
        <v>T2</v>
      </c>
      <c r="P76" s="9" t="str">
        <f t="shared" ref="P76:P79" si="16">+IF(F76&gt;0.3,
"Draw",
IF(MAX(E76:G76)&gt;=0.6,
IF(E76=MAX(E76:G76),"T1",
IF(G76=MAX(E76:G76),"T2","Draw")),
"No Bet"))</f>
        <v>No Bet</v>
      </c>
      <c r="R76" s="10">
        <f t="shared" ref="R76:R79" si="17">+IF(N76="No Bet",0,
IF(N76="T1",IF(M76="T1",1/E76-1,-1),
IF(N76="Draw",IF(M76="Draw",1/F76-1,-1),
IF(N76="T2",IF(M76="T2",1/G76-1,-1),0))))</f>
        <v>3</v>
      </c>
      <c r="S76" s="10">
        <f t="shared" ref="S76:S79" si="18">+IF(O76="No Bet",0,
IF(O76="T1",IF(M76="T1",1/E76-1,-1),
IF(O76="Draw",IF(M76="Draw",1/F76-1,-1),
IF(O76="T2",IF(M76="T2",1/G76-1,-1),0))))</f>
        <v>-1</v>
      </c>
      <c r="T76" s="10">
        <f t="shared" ref="T76:T79" si="19">+IF(P76="No Bet",0,
IF(P76="T1",IF(M76="T1",1/E76-1,-1),
IF(P76="Draw",IF(M76="Draw",1/F76-1,-1),
IF(P76="T2",IF(M76="T2",1/G76-1,-1),0))))</f>
        <v>0</v>
      </c>
    </row>
    <row r="77" spans="2:38" s="9" customFormat="1" x14ac:dyDescent="0.25">
      <c r="B77" s="8">
        <v>46200</v>
      </c>
      <c r="C77" s="9" t="s">
        <v>62</v>
      </c>
      <c r="D77" s="9" t="s">
        <v>54</v>
      </c>
      <c r="E77" s="10">
        <v>0.55000000000000004</v>
      </c>
      <c r="F77" s="10">
        <v>0.24</v>
      </c>
      <c r="G77" s="10">
        <v>0.23</v>
      </c>
      <c r="H77" s="10"/>
      <c r="I77" s="10"/>
      <c r="J77" s="10"/>
      <c r="K77" s="12">
        <v>3</v>
      </c>
      <c r="L77" s="12">
        <v>1</v>
      </c>
      <c r="M77" s="9" t="str">
        <f t="shared" si="8"/>
        <v>T1</v>
      </c>
      <c r="N77" s="9" t="str">
        <f t="shared" si="9"/>
        <v>Draw</v>
      </c>
      <c r="O77" s="9" t="str">
        <f t="shared" si="15"/>
        <v>T1</v>
      </c>
      <c r="P77" s="9" t="str">
        <f t="shared" si="16"/>
        <v>No Bet</v>
      </c>
      <c r="R77" s="10">
        <f t="shared" si="17"/>
        <v>-1</v>
      </c>
      <c r="S77" s="10">
        <f t="shared" si="18"/>
        <v>0.81818181818181812</v>
      </c>
      <c r="T77" s="10">
        <f t="shared" si="19"/>
        <v>0</v>
      </c>
    </row>
    <row r="78" spans="2:38" s="9" customFormat="1" x14ac:dyDescent="0.25">
      <c r="B78" s="8">
        <v>46200</v>
      </c>
      <c r="C78" s="9" t="s">
        <v>55</v>
      </c>
      <c r="D78" s="9" t="s">
        <v>56</v>
      </c>
      <c r="E78" s="10">
        <v>0.25</v>
      </c>
      <c r="F78" s="10">
        <v>0.44</v>
      </c>
      <c r="G78" s="10">
        <v>0.34</v>
      </c>
      <c r="H78" s="10"/>
      <c r="I78" s="10"/>
      <c r="J78" s="10"/>
      <c r="K78" s="12">
        <v>3</v>
      </c>
      <c r="L78" s="12">
        <v>3</v>
      </c>
      <c r="M78" s="9" t="str">
        <f t="shared" si="8"/>
        <v>Draw</v>
      </c>
      <c r="N78" s="9" t="str">
        <f t="shared" si="9"/>
        <v>Draw</v>
      </c>
      <c r="O78" s="9" t="str">
        <f t="shared" si="15"/>
        <v>Draw</v>
      </c>
      <c r="P78" s="9" t="str">
        <f t="shared" si="16"/>
        <v>Draw</v>
      </c>
      <c r="R78" s="10">
        <f t="shared" si="17"/>
        <v>1.2727272727272729</v>
      </c>
      <c r="S78" s="10">
        <f t="shared" si="18"/>
        <v>1.2727272727272729</v>
      </c>
      <c r="T78" s="10">
        <f t="shared" si="19"/>
        <v>1.2727272727272729</v>
      </c>
    </row>
    <row r="79" spans="2:38" s="9" customFormat="1" x14ac:dyDescent="0.25">
      <c r="B79" s="8">
        <v>46200</v>
      </c>
      <c r="C79" s="9" t="s">
        <v>57</v>
      </c>
      <c r="D79" s="9" t="s">
        <v>58</v>
      </c>
      <c r="E79" s="10">
        <v>5.6000000000000001E-2</v>
      </c>
      <c r="F79" s="10">
        <v>0.12</v>
      </c>
      <c r="G79" s="10">
        <v>0.83</v>
      </c>
      <c r="H79" s="10"/>
      <c r="I79" s="10"/>
      <c r="J79" s="10"/>
      <c r="K79" s="12">
        <v>1</v>
      </c>
      <c r="L79" s="12">
        <v>3</v>
      </c>
      <c r="M79" s="9" t="str">
        <f t="shared" si="8"/>
        <v>T2</v>
      </c>
      <c r="N79" s="9" t="str">
        <f t="shared" si="9"/>
        <v>Draw</v>
      </c>
      <c r="O79" s="9" t="str">
        <f t="shared" si="15"/>
        <v>T2</v>
      </c>
      <c r="P79" s="9" t="str">
        <f t="shared" si="16"/>
        <v>T2</v>
      </c>
      <c r="R79" s="10">
        <f t="shared" si="17"/>
        <v>-1</v>
      </c>
      <c r="S79" s="10">
        <f t="shared" si="18"/>
        <v>0.20481927710843384</v>
      </c>
      <c r="T79" s="10">
        <f t="shared" si="19"/>
        <v>0.20481927710843384</v>
      </c>
    </row>
    <row r="80" spans="2:38" s="9" customFormat="1" x14ac:dyDescent="0.25">
      <c r="B80" s="9" t="s">
        <v>70</v>
      </c>
      <c r="C80" s="9" t="s">
        <v>70</v>
      </c>
      <c r="D80" s="9" t="s">
        <v>70</v>
      </c>
      <c r="E80" s="9" t="s">
        <v>70</v>
      </c>
      <c r="F80" s="9" t="s">
        <v>70</v>
      </c>
      <c r="G80" s="9" t="s">
        <v>70</v>
      </c>
      <c r="H80" s="9" t="s">
        <v>70</v>
      </c>
      <c r="K80" s="9" t="s">
        <v>70</v>
      </c>
      <c r="L80" s="9" t="s">
        <v>70</v>
      </c>
      <c r="M80" s="9" t="s">
        <v>70</v>
      </c>
      <c r="N80" s="9" t="s">
        <v>70</v>
      </c>
      <c r="O80" s="9" t="s">
        <v>70</v>
      </c>
      <c r="P80" s="9" t="s">
        <v>70</v>
      </c>
      <c r="Q80" s="9" t="s">
        <v>70</v>
      </c>
      <c r="R80" s="9" t="s">
        <v>70</v>
      </c>
      <c r="S80" s="9" t="s">
        <v>70</v>
      </c>
      <c r="T80" s="9" t="s">
        <v>70</v>
      </c>
      <c r="U80" s="9" t="s">
        <v>70</v>
      </c>
      <c r="V80" s="9" t="s">
        <v>70</v>
      </c>
      <c r="W80" s="9" t="s">
        <v>70</v>
      </c>
      <c r="X80" s="9" t="s">
        <v>70</v>
      </c>
      <c r="Y80" s="9" t="s">
        <v>70</v>
      </c>
      <c r="Z80" s="9" t="s">
        <v>70</v>
      </c>
      <c r="AA80" s="9" t="s">
        <v>70</v>
      </c>
      <c r="AB80" s="9" t="s">
        <v>70</v>
      </c>
      <c r="AC80" s="9" t="s">
        <v>70</v>
      </c>
      <c r="AD80" s="9" t="s">
        <v>70</v>
      </c>
      <c r="AE80" s="9" t="s">
        <v>70</v>
      </c>
      <c r="AF80" s="9" t="s">
        <v>70</v>
      </c>
      <c r="AG80" s="9" t="s">
        <v>70</v>
      </c>
    </row>
  </sheetData>
  <conditionalFormatting sqref="A8:AZ998">
    <cfRule type="expression" dxfId="1" priority="9">
      <formula>$M8="draw"</formula>
    </cfRule>
  </conditionalFormatting>
  <conditionalFormatting sqref="A8:XFD80">
    <cfRule type="containsText" dxfId="0" priority="4" stopIfTrue="1" operator="containsText" text="draw">
      <formula>NOT(ISERROR(SEARCH("draw",A8)))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comments</vt:lpstr>
      <vt:lpstr>sources</vt:lpstr>
      <vt:lpstr>testing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Franciszek Kessler</dc:creator>
  <cp:lastModifiedBy>Franciszek Kessler</cp:lastModifiedBy>
  <dcterms:created xsi:type="dcterms:W3CDTF">2026-06-12T15:57:17Z</dcterms:created>
  <dcterms:modified xsi:type="dcterms:W3CDTF">2026-06-28T15:52:06Z</dcterms:modified>
</cp:coreProperties>
</file>